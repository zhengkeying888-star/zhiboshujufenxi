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100" firstSheet="3" activeTab="3"/>
  </bookViews>
  <sheets>
    <sheet name="【4.20-4.26】用户量级" sheetId="2" state="hidden" r:id="rId1"/>
    <sheet name="月度排期4.13-4.19" sheetId="3" state="hidden" r:id="rId2"/>
    <sheet name="5月排期【5.18-5.24】" sheetId="4" r:id="rId3"/>
    <sheet name="5月排期【5.11-5.17】" sheetId="5" r:id="rId4"/>
    <sheet name="【月度排期】各线人数4.27-5.3" sheetId="6" state="hidden" r:id="rId5"/>
    <sheet name="【月度排期】各线人数5.11-5.17" sheetId="7" state="hidden" r:id="rId6"/>
    <sheet name="5月排期【5.4-5.10】" sheetId="8" r:id="rId7"/>
    <sheet name="【月度排期】各线人数5.4-5.10" sheetId="9" state="hidden" r:id="rId8"/>
    <sheet name="4月排期【4.27-5.10】" sheetId="10" r:id="rId9"/>
    <sheet name="4月排期【4.20-4.26】" sheetId="11" r:id="rId10"/>
    <sheet name="4月排期【4.13-4.19】" sheetId="12" r:id="rId11"/>
    <sheet name="4月排期【4.6-4.12】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<sst xmlns="http://schemas.openxmlformats.org/spreadsheetml/2006/main" count="2632" uniqueCount="1265">
  <si>
    <t>4.20-4.26</t>
  </si>
  <si>
    <t>直播</t>
  </si>
  <si>
    <t>存量</t>
  </si>
  <si>
    <t>存量半年量级预估</t>
  </si>
  <si>
    <t>线</t>
  </si>
  <si>
    <t>品类</t>
  </si>
  <si>
    <t>品类目前总用户</t>
  </si>
  <si>
    <t>时间</t>
  </si>
  <si>
    <t>用户数</t>
  </si>
  <si>
    <t>变美</t>
  </si>
  <si>
    <t>中医变美</t>
  </si>
  <si>
    <t>截止4/12</t>
  </si>
  <si>
    <t>2025年12月29日—2026年4月12日</t>
  </si>
  <si>
    <t>2025年9月29日—2025年12月28日</t>
  </si>
  <si>
    <t>2025年3月31日—2025年9月28日</t>
  </si>
  <si>
    <t>2023年1月—2025年3月30日</t>
  </si>
  <si>
    <t>普拉提S【剔除庭香】</t>
  </si>
  <si>
    <t>截止4/5</t>
  </si>
  <si>
    <t>2025年12月22日—2026年4月5日</t>
  </si>
  <si>
    <t>2025年9月22日—2025年12月21日</t>
  </si>
  <si>
    <t>2025年3月24日—2025年9月21日</t>
  </si>
  <si>
    <t>2023年1月—2025年3月23日</t>
  </si>
  <si>
    <t>普拉提A</t>
  </si>
  <si>
    <t>普拉提BCD</t>
  </si>
  <si>
    <t>瑜伽S</t>
  </si>
  <si>
    <t>瑜伽A</t>
  </si>
  <si>
    <t>瑜伽BCD</t>
  </si>
  <si>
    <t>中医瑜伽</t>
  </si>
  <si>
    <t>面部驻颜瑜伽</t>
  </si>
  <si>
    <t>健康</t>
  </si>
  <si>
    <t>美学</t>
  </si>
  <si>
    <t>太极s</t>
  </si>
  <si>
    <t>太极A</t>
  </si>
  <si>
    <t>太极BCD</t>
  </si>
  <si>
    <t>五禽戏</t>
  </si>
  <si>
    <t>健康营养</t>
  </si>
  <si>
    <t>固气</t>
  </si>
  <si>
    <t>睡眠</t>
  </si>
  <si>
    <t>气血</t>
  </si>
  <si>
    <t>亚健康管理</t>
  </si>
  <si>
    <t>2023年1月1日—2026年4月12日</t>
  </si>
  <si>
    <t>兴趣</t>
  </si>
  <si>
    <t>手机摄影SA</t>
  </si>
  <si>
    <t>手机摄影BCD</t>
  </si>
  <si>
    <t>唱歌</t>
  </si>
  <si>
    <t>短视频（含相机摄影）</t>
  </si>
  <si>
    <t>国际声乐</t>
  </si>
  <si>
    <t>摄影美学</t>
  </si>
  <si>
    <t>4.13-4.19</t>
  </si>
  <si>
    <t>截止3/29</t>
  </si>
  <si>
    <t>2025年12月15日—2026年3月29日</t>
  </si>
  <si>
    <t>2025年9月15日—2025年12月14日</t>
  </si>
  <si>
    <t>2025年3月17日—2025年9月14日</t>
  </si>
  <si>
    <t>2023年1月—2025年3月16日</t>
  </si>
  <si>
    <t>2026年1月1日—2026年4月5日</t>
  </si>
  <si>
    <t>固气（亚健康管理）</t>
  </si>
  <si>
    <t>星期</t>
  </si>
  <si>
    <t>直播资源位分布
【晨练】</t>
  </si>
  <si>
    <t>周一</t>
  </si>
  <si>
    <t>周二</t>
  </si>
  <si>
    <t>周三</t>
  </si>
  <si>
    <t>周四</t>
  </si>
  <si>
    <t>周五</t>
  </si>
  <si>
    <t>周六</t>
  </si>
  <si>
    <t>周日</t>
  </si>
  <si>
    <t>日期</t>
  </si>
  <si>
    <t>早间</t>
  </si>
  <si>
    <t xml:space="preserve">
君合太极晨练
7:00-9：00
</t>
  </si>
  <si>
    <t xml:space="preserve">
普拉提晨练
7:00-9：00
</t>
  </si>
  <si>
    <t xml:space="preserve">
睡眠调理晨练
7:00-9：00
</t>
  </si>
  <si>
    <t>一杰瑜伽晨练
7:00-8:30
五禽戏晨练
8:30-10:00</t>
  </si>
  <si>
    <t>伪直播复用
2026.4.15需剪辑
逆龄女神瑜伽</t>
  </si>
  <si>
    <t>文案负责人</t>
  </si>
  <si>
    <t>静雯</t>
  </si>
  <si>
    <t>刘芳</t>
  </si>
  <si>
    <t>曝光量级</t>
  </si>
  <si>
    <t>健康线</t>
  </si>
  <si>
    <t>【存量】
2023年1月—2026年5月10日
五禽戏（127104）
2025年10月27日—2026年5月10日
太极BCD(279756)
2025年4月28日—2025年10月26日
太极SA(94209)</t>
  </si>
  <si>
    <t>【存量】
2025年4月28日—2026年5月10日
瑜伽BCD(149404)
2025年4月28日—2025年10月26日
中医变美（40408）</t>
  </si>
  <si>
    <t>【存量】
2025年10月27日—2026年5月10日
太极SA(327269)
2025年10月27日—2026年5月10日
气血（71491）
2023年1月—2026年5月10日
亚健康（21019）</t>
  </si>
  <si>
    <t>【存量】
2025年4月28日—2026年1月25日
健康营养（116178）</t>
  </si>
  <si>
    <t>【存量】
2023年1月—2025年10月26日
瑜伽SA(206410)</t>
  </si>
  <si>
    <t>变美线</t>
  </si>
  <si>
    <t>【存量】
2023年1月—2025年10月18日
普拉提SA(114670)
2025年10月27日—2026年5月10日
瑜伽SA(128094)</t>
  </si>
  <si>
    <t>晚IP专场</t>
  </si>
  <si>
    <t>直播资源位分布
【晚间】</t>
  </si>
  <si>
    <t>摄影美学-段晓晖单人</t>
  </si>
  <si>
    <t>唱歌李燃
单人异地</t>
  </si>
  <si>
    <t>李慧</t>
  </si>
  <si>
    <t>兴趣线</t>
  </si>
  <si>
    <t>【存量】
2023年1月—2026年5月3日
手机摄影SA（137705）
2025年10月27日—2026年5月10日
唱歌、短视频（338586）</t>
  </si>
  <si>
    <r>
      <rPr>
        <sz val="24"/>
        <color rgb="FF1F2329"/>
        <rFont val="Calibri"/>
        <charset val="134"/>
      </rPr>
      <t xml:space="preserve">【存量】
</t>
    </r>
    <r>
      <rPr>
        <sz val="24"/>
        <color rgb="FFF54A45"/>
        <rFont val="Calibri"/>
        <charset val="134"/>
      </rPr>
      <t xml:space="preserve">2023年1月—2026年5月10日
</t>
    </r>
    <r>
      <rPr>
        <sz val="24"/>
        <color rgb="FF1F2329"/>
        <rFont val="Calibri"/>
        <charset val="134"/>
      </rPr>
      <t xml:space="preserve">唱歌（471229）
</t>
    </r>
    <r>
      <rPr>
        <sz val="24"/>
        <color rgb="FFF54A45"/>
        <rFont val="Calibri"/>
        <charset val="134"/>
      </rPr>
      <t xml:space="preserve">2026年1月1日—2026年5月10日
</t>
    </r>
    <r>
      <rPr>
        <sz val="24"/>
        <color rgb="FF1F2329"/>
        <rFont val="Calibri"/>
        <charset val="134"/>
      </rPr>
      <t>摄影美学（52136）</t>
    </r>
  </si>
  <si>
    <t>晚IP 专场</t>
  </si>
  <si>
    <t>相机摄影-助教罐头
（录播）</t>
  </si>
  <si>
    <t>懒人吃瘦IP田珂</t>
  </si>
  <si>
    <t>数字人直播
开心太极
19:00
不回捞</t>
  </si>
  <si>
    <t>数字人直播
懒人吃瘦（女版）
19:00
不回捞</t>
  </si>
  <si>
    <t xml:space="preserve">伪直播复用
2025.5.16健康营养
</t>
  </si>
  <si>
    <t>【存量】
2023年1月—2025年4月27日
唱歌（130907）</t>
  </si>
  <si>
    <r>
      <rPr>
        <sz val="24"/>
        <color rgb="FF000000"/>
        <rFont val="Calibri"/>
        <charset val="134"/>
      </rPr>
      <t xml:space="preserve">【存量】
</t>
    </r>
    <r>
      <rPr>
        <sz val="24"/>
        <color rgb="FFF54A45"/>
        <rFont val="Calibri"/>
        <charset val="134"/>
      </rPr>
      <t xml:space="preserve">2023年1月—2026年5月10日
</t>
    </r>
    <r>
      <rPr>
        <sz val="24"/>
        <color rgb="FF000000"/>
        <rFont val="Calibri"/>
        <charset val="134"/>
      </rPr>
      <t xml:space="preserve">中医瑜伽（119491）
</t>
    </r>
    <r>
      <rPr>
        <sz val="24"/>
        <color rgb="FFF54A45"/>
        <rFont val="Calibri"/>
        <charset val="134"/>
      </rPr>
      <t xml:space="preserve">2025年10月27日—2026年5月10日
</t>
    </r>
    <r>
      <rPr>
        <sz val="24"/>
        <color rgb="FF000000"/>
        <rFont val="Calibri"/>
        <charset val="134"/>
      </rPr>
      <t xml:space="preserve">中医变美（80740）
</t>
    </r>
    <r>
      <rPr>
        <sz val="24"/>
        <color rgb="FFF54A45"/>
        <rFont val="Calibri"/>
        <charset val="134"/>
      </rPr>
      <t xml:space="preserve">2026年1月1日—2026年5月10日
</t>
    </r>
    <r>
      <rPr>
        <sz val="24"/>
        <color rgb="FF000000"/>
        <rFont val="Calibri"/>
        <charset val="134"/>
      </rPr>
      <t xml:space="preserve">面部驻颜瑜伽（76589）
</t>
    </r>
    <r>
      <rPr>
        <sz val="24"/>
        <color rgb="FFF54A45"/>
        <rFont val="Calibri"/>
        <charset val="134"/>
      </rPr>
      <t xml:space="preserve">2025年10月20日—2026年5月3日
</t>
    </r>
    <r>
      <rPr>
        <sz val="24"/>
        <color rgb="FF000000"/>
        <rFont val="Calibri"/>
        <charset val="134"/>
      </rPr>
      <t xml:space="preserve">普拉提SA(85510)
</t>
    </r>
    <r>
      <rPr>
        <sz val="24"/>
        <color rgb="FFF54A45"/>
        <rFont val="Calibri"/>
        <charset val="134"/>
      </rPr>
      <t xml:space="preserve">2025年10月27日—2026年5月10日
</t>
    </r>
    <r>
      <rPr>
        <sz val="24"/>
        <color rgb="FF000000"/>
        <rFont val="Calibri"/>
        <charset val="134"/>
      </rPr>
      <t>普拉提BCD(86142)</t>
    </r>
  </si>
  <si>
    <t>【存量】
2023年1月—2025年4月27日
太极SA(194642)</t>
  </si>
  <si>
    <t>【存量】
2023年1月—2025年4月27日 
瑜伽BCD（193450）
2023年1月—2026年5月10日
美学（55461）</t>
  </si>
  <si>
    <t>【存量】
2023年1月—2026年5月10日
睡眠（105386）
2023年1月—2025年10月26日
气血（178795）
2023年1月—2025年4月27日
太极BCD(162462)</t>
  </si>
  <si>
    <t>伪直播复用</t>
  </si>
  <si>
    <t>伪直播复用
2026.5.13需剪辑
短视频李扬</t>
  </si>
  <si>
    <t>伪直播复用
2025.05.22需剪辑
居家古法养生</t>
  </si>
  <si>
    <t>伪直播复用
2026.4.2唐一杰
需检查下伪直播，有清明节点</t>
  </si>
  <si>
    <t>【存量】
2023年1月—2026年5月10日
手机摄影bcd（214498）
2026年1月1日—2026年5月10日
国际声乐（32518）</t>
  </si>
  <si>
    <t>【存量】
2023年1月—2025年10月26日
太极BCD(450394)
2023年1月—2026年5月10日
固气（62513）
2023年1月—2025年4月27日
健康营养（91065）</t>
  </si>
  <si>
    <t>2023年1月—2025年10月26日
普拉提BCD(147307)
2023年1月—2026年5月10日
中医变美（237946）</t>
  </si>
  <si>
    <t>逆龄女神瑜伽晨练
7:00-8:30
五禽戏晨练
8:30-10:00</t>
  </si>
  <si>
    <t>普拉提晨练
7:00-8:30
一杰瑜伽晨练
8:30-10:00</t>
  </si>
  <si>
    <r>
      <rPr>
        <b/>
        <sz val="18"/>
        <color rgb="FFFFFFFF"/>
        <rFont val="等线"/>
        <charset val="134"/>
        <scheme val="minor"/>
      </rPr>
      <t xml:space="preserve">一杰瑜伽晨练
</t>
    </r>
    <r>
      <rPr>
        <sz val="10"/>
        <rFont val="宋体"/>
        <charset val="134"/>
      </rPr>
      <t xml:space="preserve">已有单课id
</t>
    </r>
    <r>
      <rPr>
        <sz val="10"/>
        <rFont val="宋体"/>
        <charset val="134"/>
      </rPr>
      <t xml:space="preserve">7:00开播
</t>
    </r>
    <r>
      <rPr>
        <sz val="10"/>
        <rFont val="宋体"/>
        <charset val="134"/>
      </rPr>
      <t xml:space="preserve">复用3.24
</t>
    </r>
    <r>
      <rPr>
        <sz val="10"/>
        <rFont val="宋体"/>
        <charset val="134"/>
      </rPr>
      <t>预约链接：</t>
    </r>
    <r>
      <rPr>
        <b/>
        <u/>
        <sz val="18"/>
        <color theme="10"/>
        <rFont val="Calibri"/>
        <charset val="134"/>
      </rPr>
      <t>https://s.xingqudao.net/SOYehlWI</t>
    </r>
  </si>
  <si>
    <r>
      <rPr>
        <b/>
        <sz val="18"/>
        <color rgb="FF000000"/>
        <rFont val="Calibri"/>
        <charset val="134"/>
      </rPr>
      <t xml:space="preserve">2025年4月21日—2025年10月18日
</t>
    </r>
    <r>
      <rPr>
        <sz val="18"/>
        <color rgb="FF000000"/>
        <rFont val="Calibri"/>
        <charset val="134"/>
      </rPr>
      <t>太极SA(94759)</t>
    </r>
  </si>
  <si>
    <t>2023年1月—2025年4月20日
太极SA(195301)
2025年4月21日—2026年5月3日
气血（129618）</t>
  </si>
  <si>
    <t>2025年10月20日—2026年5月3日
睡眠（51819）
2023年1月—2025年4月20日
五禽戏（81195）
2025年10月20日—2026年5月3日
太极BCD(277833))
2023年1月—2025年4月20日
气血（118222）</t>
  </si>
  <si>
    <t>2023年1月—2025年10月18日
健康营养（123341）
2023年1月—2025年10月18日
睡眠（52866）</t>
  </si>
  <si>
    <t>【存量】
2023年1月1日—2026年4月26日
普拉提S（87654）
2026年1月19日—2026年5月3日
中医变美（58268）
2026年1月19日—2026年5月3日
普拉提BCD（46124）
2025年10月20日—2026年1月18日
瑜伽SA(15155)</t>
  </si>
  <si>
    <t>【存量】
2023年1月1日—2025年10月18日
瑜伽A（118039）
瑜伽S（88326）
2023年1月—2026年5月3日
东方养正瑜伽（115564）
2025年4月21日—2026年1月18日
普拉提BCD(76089)</t>
  </si>
  <si>
    <t>【存量】
2025年4月21日—2026年5月3日
瑜伽BCD(153072)</t>
  </si>
  <si>
    <t>短视频李扬</t>
  </si>
  <si>
    <t>手机摄影大赛-李扬</t>
  </si>
  <si>
    <t>朗诵IP</t>
  </si>
  <si>
    <t>镇兆</t>
  </si>
  <si>
    <t>【存量】
2026年1月19日—2026年5月3日
唱歌（113756）
2023年1月1日—2025年10月18日
唱歌（262879）
2023年1月1日—2026年4月26日
手机摄影SA（138744）
2026年1月1日—2026年5月3日
国际声乐、摄影美学（38144）</t>
  </si>
  <si>
    <t>【存量】
2025年10月20日—2026年5月3日
手机摄影BCD(115572)
2025年10月20日—2026年1月18日
唱歌（91038）</t>
  </si>
  <si>
    <t xml:space="preserve">
【存量】
2023年1月1日—2025年10月18日
手机摄影BCD（99099）
2023年1月—2026年1月18日
短视频（187961）
2026年1月19日—2026年5月3日
短视频（55197）</t>
  </si>
  <si>
    <r>
      <rPr>
        <b/>
        <sz val="18"/>
        <color rgb="FF1F2329"/>
        <rFont val="Calibri"/>
        <charset val="134"/>
      </rPr>
      <t>数字人直播</t>
    </r>
    <r>
      <rPr>
        <b/>
        <sz val="30"/>
        <color rgb="FFF54A45"/>
        <rFont val="Calibri"/>
        <charset val="134"/>
      </rPr>
      <t xml:space="preserve">不回捞！！！
</t>
    </r>
    <r>
      <rPr>
        <b/>
        <sz val="18"/>
        <color rgb="FF1F2329"/>
        <rFont val="Calibri"/>
        <charset val="134"/>
      </rPr>
      <t>懒人吃瘦
19:00</t>
    </r>
  </si>
  <si>
    <r>
      <rPr>
        <b/>
        <sz val="18"/>
        <color rgb="FF1F2329"/>
        <rFont val="Calibri"/>
        <charset val="134"/>
      </rPr>
      <t>数字人直播</t>
    </r>
    <r>
      <rPr>
        <b/>
        <sz val="30"/>
        <color rgb="FFF54A45"/>
        <rFont val="Calibri"/>
        <charset val="134"/>
      </rPr>
      <t xml:space="preserve">不回捞！！！
</t>
    </r>
    <r>
      <rPr>
        <b/>
        <sz val="18"/>
        <color rgb="FF1F2329"/>
        <rFont val="Calibri"/>
        <charset val="134"/>
      </rPr>
      <t>体态塑形瑜伽
19:00</t>
    </r>
  </si>
  <si>
    <t>内养太极</t>
  </si>
  <si>
    <t>【存量】
2023年1月—2026年5月3日
亚健康（19584）
2025年4月21日—2026年5月3日
五禽戏（45489）
2025年10月20日—2026年5月3日
太极SA（276457）
2023年1月—2026年5月3日
美学（56207）
2023年1月—2026年5月3日
固气（62808）</t>
  </si>
  <si>
    <t>【存量】
2023年1月—2026年4月26日
普拉提A(121015)
2026年1月1日—2026年5月3日
面部驻颜瑜伽（21611）</t>
  </si>
  <si>
    <t>【存量】
2026年1月19日—2026年5月3日
瑜伽SA(114980)</t>
  </si>
  <si>
    <r>
      <rPr>
        <b/>
        <sz val="18"/>
        <color rgb="FF1F2329"/>
        <rFont val="等线"/>
        <charset val="134"/>
        <scheme val="minor"/>
      </rPr>
      <t xml:space="preserve">伪直播复用5.7
</t>
    </r>
    <r>
      <rPr>
        <sz val="10"/>
        <rFont val="宋体"/>
        <charset val="134"/>
      </rPr>
      <t xml:space="preserve">古法居家姚国诚
</t>
    </r>
    <r>
      <rPr>
        <sz val="10"/>
        <rFont val="宋体"/>
        <charset val="134"/>
      </rPr>
      <t xml:space="preserve">直播间ID：3660469951
</t>
    </r>
    <r>
      <rPr>
        <sz val="10"/>
        <rFont val="宋体"/>
        <charset val="134"/>
      </rPr>
      <t>预约链接：</t>
    </r>
    <r>
      <rPr>
        <b/>
        <u/>
        <sz val="18"/>
        <color theme="10"/>
        <rFont val="Calibri"/>
        <charset val="134"/>
      </rPr>
      <t>https://s.xingqudao.net/SOYehkkJ</t>
    </r>
  </si>
  <si>
    <r>
      <rPr>
        <b/>
        <sz val="18"/>
        <color rgb="FFFFFFFF"/>
        <rFont val="等线"/>
        <charset val="134"/>
        <scheme val="minor"/>
      </rPr>
      <t xml:space="preserve">编织-0元
</t>
    </r>
    <r>
      <rPr>
        <sz val="10"/>
        <rFont val="宋体"/>
        <charset val="134"/>
      </rPr>
      <t xml:space="preserve">文案可参考5.8编织直播
</t>
    </r>
    <r>
      <rPr>
        <sz val="10"/>
        <rFont val="宋体"/>
        <charset val="134"/>
      </rPr>
      <t xml:space="preserve">直播间ID：3660468644
</t>
    </r>
    <r>
      <rPr>
        <sz val="10"/>
        <rFont val="宋体"/>
        <charset val="134"/>
      </rPr>
      <t>预约链接：</t>
    </r>
    <r>
      <rPr>
        <b/>
        <u/>
        <sz val="18"/>
        <color theme="10"/>
        <rFont val="Calibri"/>
        <charset val="134"/>
      </rPr>
      <t>https://s.xingqudao.net/SOYein1C</t>
    </r>
  </si>
  <si>
    <r>
      <rPr>
        <b/>
        <sz val="18"/>
        <color rgb="FFFFFFFF"/>
        <rFont val="等线"/>
        <charset val="134"/>
        <scheme val="minor"/>
      </rPr>
      <t xml:space="preserve">普拉提魏巍
</t>
    </r>
    <r>
      <rPr>
        <sz val="10"/>
        <rFont val="宋体"/>
        <charset val="134"/>
      </rPr>
      <t xml:space="preserve">复用5.9，开播时间19:00
</t>
    </r>
    <r>
      <rPr>
        <sz val="10"/>
        <rFont val="宋体"/>
        <charset val="134"/>
      </rPr>
      <t xml:space="preserve">直播间ID：3660470078
</t>
    </r>
    <r>
      <rPr>
        <sz val="10"/>
        <rFont val="宋体"/>
        <charset val="134"/>
      </rPr>
      <t>预约链接：</t>
    </r>
    <r>
      <rPr>
        <b/>
        <u/>
        <sz val="18"/>
        <color theme="10"/>
        <rFont val="Calibri"/>
        <charset val="134"/>
      </rPr>
      <t>https://s.xingqudao.net/SOYehleb</t>
    </r>
  </si>
  <si>
    <r>
      <rPr>
        <b/>
        <sz val="18"/>
        <color rgb="FFFFFFFF"/>
        <rFont val="等线"/>
        <charset val="134"/>
        <scheme val="minor"/>
      </rPr>
      <t xml:space="preserve">摄影美学-段晓晖单人
</t>
    </r>
    <r>
      <rPr>
        <sz val="10"/>
        <rFont val="宋体"/>
        <charset val="134"/>
      </rPr>
      <t xml:space="preserve">复用4.14日段
</t>
    </r>
    <r>
      <rPr>
        <sz val="10"/>
        <rFont val="宋体"/>
        <charset val="134"/>
      </rPr>
      <t xml:space="preserve">直播间ID：3660470009
</t>
    </r>
    <r>
      <rPr>
        <sz val="10"/>
        <rFont val="宋体"/>
        <charset val="134"/>
      </rPr>
      <t>预约链接：</t>
    </r>
    <r>
      <rPr>
        <b/>
        <u/>
        <sz val="18"/>
        <color theme="10"/>
        <rFont val="Calibri"/>
        <charset val="134"/>
      </rPr>
      <t>https://s.xingqudao.net/SOYehlLK</t>
    </r>
  </si>
  <si>
    <t>2025年4月21日—2025年10月18日
太极BCD(164204)
2025年10月20日—2026年5月3日
健康营养（81112）
2023年1月—2025年4月20日
太极BCD(284775)</t>
  </si>
  <si>
    <t>【存量】
2026年1月19日—2026年5月3日
唱歌（113756）
2023年1月1日—2025年10月18日
唱歌（262879）</t>
  </si>
  <si>
    <t>2023年1月1日—2026年4月26日
普拉提S（87654）
2023年1月—2025年4月20日
普拉提BCD（109813）</t>
  </si>
  <si>
    <t>【存量】
2023年1月1日—2026年5月3日
中医变美（236660）
2023年1月—2025年4月20日
瑜伽BCD(191376)</t>
  </si>
  <si>
    <t>排期</t>
  </si>
  <si>
    <t>投放计划</t>
  </si>
  <si>
    <t>5.16一杰瑜伽</t>
  </si>
  <si>
    <t>（购物车链接）129347299580</t>
  </si>
  <si>
    <t>【私域】一杰瑜伽-千聊内部-0元-5/16早间健康变美直播-购物车</t>
  </si>
  <si>
    <r>
      <rPr>
        <u/>
        <sz val="12"/>
        <color theme="10"/>
        <rFont val="Calibri"/>
        <charset val="134"/>
      </rPr>
      <t>https://t1.nicegoods.cn/financial/experience-plan-sku?launchId=129347299580</t>
    </r>
  </si>
  <si>
    <t>（社群专属）129344398905</t>
  </si>
  <si>
    <t>【私域】一杰瑜伽-千聊内部-0元-5/16早间健康变美直播-弹幕</t>
  </si>
  <si>
    <r>
      <rPr>
        <u/>
        <sz val="12"/>
        <color theme="10"/>
        <rFont val="Calibri"/>
        <charset val="134"/>
      </rPr>
      <t>https://t1.nicegoods.cn/financial/experience-plan-sku?launchId=129344398905</t>
    </r>
  </si>
  <si>
    <t>渠道值</t>
  </si>
  <si>
    <t>长链接</t>
  </si>
  <si>
    <t>短链接</t>
  </si>
  <si>
    <t>免费-一杰瑜伽-千聊内部-矩阵私域-刘芳-1V1-变美组-健康变美直播-20260509</t>
  </si>
  <si>
    <t>210500_14233680_financing</t>
  </si>
  <si>
    <r>
      <rPr>
        <u/>
        <sz val="12"/>
        <color theme="10"/>
        <rFont val="宋体"/>
        <charset val="134"/>
      </rPr>
      <t>https://t1.nicegoods.cn/financial/experience-plan-sku?launchId=129344398905&amp;wcl=210500_14233680_financing</t>
    </r>
  </si>
  <si>
    <r>
      <rPr>
        <u/>
        <sz val="12"/>
        <color theme="10"/>
        <rFont val="宋体"/>
        <charset val="134"/>
      </rPr>
      <t>https://s.xingqudao.net/SOYeg1KO</t>
    </r>
  </si>
  <si>
    <t>免费-一杰瑜伽-千聊内部-矩阵私域-刘芳-朋友圈-变美组-健康变美直播-20260509</t>
  </si>
  <si>
    <t>210500_14233681_financing</t>
  </si>
  <si>
    <r>
      <rPr>
        <u/>
        <sz val="12"/>
        <color theme="10"/>
        <rFont val="宋体"/>
        <charset val="134"/>
      </rPr>
      <t>https://t1.nicegoods.cn/financial/experience-plan-sku?launchId=129344398905&amp;wcl=210500_14233681_financing</t>
    </r>
  </si>
  <si>
    <r>
      <rPr>
        <u/>
        <sz val="12"/>
        <color theme="10"/>
        <rFont val="宋体"/>
        <charset val="134"/>
      </rPr>
      <t>https://s.xingqudao.net/SOYeg1KP</t>
    </r>
  </si>
  <si>
    <t>免费-一杰瑜伽-千聊内部-矩阵私域-刘芳-社群-变美组-健康变美直播-20260509</t>
  </si>
  <si>
    <t>210500_14233682_financing</t>
  </si>
  <si>
    <r>
      <rPr>
        <u/>
        <sz val="12"/>
        <color theme="10"/>
        <rFont val="宋体"/>
        <charset val="134"/>
      </rPr>
      <t>https://t1.nicegoods.cn/financial/experience-plan-sku?launchId=129344398905&amp;wcl=210500_14233682_financing</t>
    </r>
  </si>
  <si>
    <r>
      <rPr>
        <u/>
        <sz val="12"/>
        <color theme="10"/>
        <rFont val="宋体"/>
        <charset val="134"/>
      </rPr>
      <t>https://s.xingqudao.net/SOYeg1KQ</t>
    </r>
  </si>
  <si>
    <t>免费-一杰瑜伽-千聊内部-矩阵私域-刘芳-1V1-健康组-节气养正直播-20260513</t>
  </si>
  <si>
    <t>210500_14235667_financing</t>
  </si>
  <si>
    <r>
      <rPr>
        <u/>
        <sz val="12"/>
        <color theme="10"/>
        <rFont val="宋体"/>
        <charset val="134"/>
      </rPr>
      <t>https://t1.nicegoods.cn/financial/experience-plan-sku?launchId=129344398905&amp;wcl=210500_14235667_financing</t>
    </r>
  </si>
  <si>
    <r>
      <rPr>
        <u/>
        <sz val="12"/>
        <color theme="10"/>
        <rFont val="宋体"/>
        <charset val="134"/>
      </rPr>
      <t>https://s.xingqudao.net/SOYeiOnT</t>
    </r>
  </si>
  <si>
    <t>免费-一杰瑜伽-千聊内部-矩阵私域-刘芳-朋友圈-健康组-节气养正直播-20260513</t>
  </si>
  <si>
    <t>210500_14235668_financing</t>
  </si>
  <si>
    <r>
      <rPr>
        <u/>
        <sz val="12"/>
        <color theme="10"/>
        <rFont val="宋体"/>
        <charset val="134"/>
      </rPr>
      <t>https://t1.nicegoods.cn/financial/experience-plan-sku?launchId=129344398905&amp;wcl=210500_14235668_financing</t>
    </r>
  </si>
  <si>
    <r>
      <rPr>
        <u/>
        <sz val="12"/>
        <color theme="10"/>
        <rFont val="宋体"/>
        <charset val="134"/>
      </rPr>
      <t>https://s.xingqudao.net/SOYeiOnU</t>
    </r>
  </si>
  <si>
    <t>免费-一杰瑜伽-千聊内部-矩阵私域-刘芳-社群-健康组-节气养正直播-20260513</t>
  </si>
  <si>
    <t>210500_14235669_financing</t>
  </si>
  <si>
    <r>
      <rPr>
        <u/>
        <sz val="12"/>
        <color theme="10"/>
        <rFont val="宋体"/>
        <charset val="134"/>
      </rPr>
      <t>https://t1.nicegoods.cn/financial/experience-plan-sku?launchId=129344398905&amp;wcl=210500_14235669_financing</t>
    </r>
  </si>
  <si>
    <r>
      <rPr>
        <u/>
        <sz val="12"/>
        <color theme="10"/>
        <rFont val="宋体"/>
        <charset val="134"/>
      </rPr>
      <t>https://s.xingqudao.net/SOYeiOnV</t>
    </r>
  </si>
  <si>
    <t>免费-一杰瑜伽-千聊内部-矩阵私域-刘芳-1V1-变美组-健康变美直播-购物车链接-20260509</t>
  </si>
  <si>
    <t>210500_14233678_financing</t>
  </si>
  <si>
    <r>
      <rPr>
        <u/>
        <sz val="12"/>
        <color theme="10"/>
        <rFont val="宋体"/>
        <charset val="134"/>
      </rPr>
      <t>https://t1.nicegoods.cn/financial/experience-plan-sku?launchId=129347299580&amp;wcl=210500_14233678_financing</t>
    </r>
  </si>
  <si>
    <r>
      <rPr>
        <u/>
        <sz val="12"/>
        <color theme="10"/>
        <rFont val="宋体"/>
        <charset val="134"/>
      </rPr>
      <t>https://s.xingqudao.net/SOYeg1KM</t>
    </r>
  </si>
  <si>
    <t>免费-一杰瑜伽-千聊内部-矩阵私域-刘芳-1V1-变美组-健康变美直播-弹幕链接-20260509</t>
  </si>
  <si>
    <t>210500_14233679_financing</t>
  </si>
  <si>
    <r>
      <rPr>
        <u/>
        <sz val="12"/>
        <color theme="10"/>
        <rFont val="宋体"/>
        <charset val="134"/>
      </rPr>
      <t>https://t1.nicegoods.cn/financial/experience-plan-sku?launchId=129344398905&amp;wcl=210500_14233679_financing</t>
    </r>
  </si>
  <si>
    <r>
      <rPr>
        <u/>
        <sz val="12"/>
        <color theme="10"/>
        <rFont val="宋体"/>
        <charset val="134"/>
      </rPr>
      <t>https://s.xingqudao.net/SOYeg1KN</t>
    </r>
  </si>
  <si>
    <t>5.12懒人吃瘦</t>
  </si>
  <si>
    <t>（购物车链接）129360804826</t>
  </si>
  <si>
    <t>【私域】-懒人吃瘦-田珂-千聊内部-0元-健康变美直播-购物车</t>
  </si>
  <si>
    <r>
      <rPr>
        <u/>
        <sz val="12"/>
        <color theme="10"/>
        <rFont val="Calibri"/>
        <charset val="134"/>
      </rPr>
      <t>https://t1.nicegoods.cn/financial/experience-plan-sku?launchId=129360804826</t>
    </r>
  </si>
  <si>
    <t>（社群专属）129361506776</t>
  </si>
  <si>
    <t>【私域】-懒人吃瘦-田珂-千聊内部-0元-健康变美直播-社群专属</t>
  </si>
  <si>
    <r>
      <rPr>
        <u/>
        <sz val="12"/>
        <color theme="10"/>
        <rFont val="Calibri"/>
        <charset val="134"/>
      </rPr>
      <t>https://t1.nicegoods.cn/financial/experience-plan-sku?launchId=129361506776</t>
    </r>
  </si>
  <si>
    <t>免费-懒人吃瘦-千聊内部-矩阵私域-刘芳-1V1-变美组-健康变美直播-20260509</t>
  </si>
  <si>
    <t>210500_14233692_financing</t>
  </si>
  <si>
    <r>
      <rPr>
        <u/>
        <sz val="12"/>
        <color theme="10"/>
        <rFont val="宋体"/>
        <charset val="134"/>
      </rPr>
      <t>https://t1.nicegoods.cn/financial/experience-plan-sku?launchId=129361506776&amp;wcl=210500_14233692_financing</t>
    </r>
  </si>
  <si>
    <r>
      <rPr>
        <u/>
        <sz val="12"/>
        <color theme="10"/>
        <rFont val="宋体"/>
        <charset val="134"/>
      </rPr>
      <t>https://s.xingqudao.net/SOYeg1UV</t>
    </r>
  </si>
  <si>
    <t>免费-懒人吃瘦-千聊内部-矩阵私域-刘芳-朋友圈-变美组-健康变美直播-20260509</t>
  </si>
  <si>
    <t>210500_14233693_financing</t>
  </si>
  <si>
    <r>
      <rPr>
        <u/>
        <sz val="12"/>
        <color theme="10"/>
        <rFont val="宋体"/>
        <charset val="134"/>
      </rPr>
      <t>https://t1.nicegoods.cn/financial/experience-plan-sku?launchId=129361506776&amp;wcl=210500_14233693_financing</t>
    </r>
  </si>
  <si>
    <r>
      <rPr>
        <u/>
        <sz val="12"/>
        <color theme="10"/>
        <rFont val="宋体"/>
        <charset val="134"/>
      </rPr>
      <t>https://s.xingqudao.net/SOYeg1UX</t>
    </r>
  </si>
  <si>
    <t>免费-懒人吃瘦-千聊内部-矩阵私域-刘芳-社群-变美组-健康变美直播-20260509</t>
  </si>
  <si>
    <t>210500_14233694_financing</t>
  </si>
  <si>
    <r>
      <rPr>
        <u/>
        <sz val="12"/>
        <color theme="10"/>
        <rFont val="宋体"/>
        <charset val="134"/>
      </rPr>
      <t>https://t1.nicegoods.cn/financial/experience-plan-sku?launchId=129361506776&amp;wcl=210500_14233694_financing</t>
    </r>
  </si>
  <si>
    <r>
      <rPr>
        <u/>
        <sz val="12"/>
        <color theme="10"/>
        <rFont val="宋体"/>
        <charset val="134"/>
      </rPr>
      <t>https://s.xingqudao.net/SOYeg1UY</t>
    </r>
  </si>
  <si>
    <t>免费-懒人吃瘦-千聊内部-矩阵私域-刘芳-1V1-变美组-健康变美直播-购物车链接-20260509</t>
  </si>
  <si>
    <t>210500_14233690_financing</t>
  </si>
  <si>
    <r>
      <rPr>
        <u/>
        <sz val="12"/>
        <color theme="10"/>
        <rFont val="宋体"/>
        <charset val="134"/>
      </rPr>
      <t>https://t1.nicegoods.cn/financial/experience-plan-sku?launchId=129360804826&amp;wcl=210500_14233690_financing</t>
    </r>
  </si>
  <si>
    <r>
      <rPr>
        <u/>
        <sz val="12"/>
        <color theme="10"/>
        <rFont val="宋体"/>
        <charset val="134"/>
      </rPr>
      <t>https://s.xingqudao.net/SOYeg1UT</t>
    </r>
  </si>
  <si>
    <t>免费-懒人吃瘦-千聊内部-矩阵私域-刘芳-1V1-变美组-健康变美直播-弹幕链接-20260509</t>
  </si>
  <si>
    <t>210500_14233691_financing</t>
  </si>
  <si>
    <r>
      <rPr>
        <u/>
        <sz val="12"/>
        <color theme="10"/>
        <rFont val="宋体"/>
        <charset val="134"/>
      </rPr>
      <t>https://t1.nicegoods.cn/financial/experience-plan-sku?launchId=129361506776&amp;wcl=210500_14233691_financing</t>
    </r>
  </si>
  <si>
    <r>
      <rPr>
        <u/>
        <sz val="12"/>
        <color theme="10"/>
        <rFont val="宋体"/>
        <charset val="134"/>
      </rPr>
      <t>https://s.xingqudao.net/SOYeg1UU</t>
    </r>
  </si>
  <si>
    <t>5.14体态塑型瑜伽</t>
  </si>
  <si>
    <t>（购物车链接）129360805488</t>
  </si>
  <si>
    <t>【私域】-体态塑形瑜伽-千聊内部-0元-健康变美直播-购物车</t>
  </si>
  <si>
    <r>
      <rPr>
        <u/>
        <sz val="12"/>
        <color theme="10"/>
        <rFont val="Calibri"/>
        <charset val="134"/>
      </rPr>
      <t>https://t1.nicegoods.cn/financial/experience-plan-sku?launchId=129360805488</t>
    </r>
  </si>
  <si>
    <t>（社群专属）129361105896</t>
  </si>
  <si>
    <t>【私域】-体态塑形瑜伽-千聊内部-0元-健康变美直播-社群专属</t>
  </si>
  <si>
    <r>
      <rPr>
        <u/>
        <sz val="12"/>
        <color theme="10"/>
        <rFont val="Calibri"/>
        <charset val="134"/>
      </rPr>
      <t>https://t1.nicegoods.cn/financial/experience-plan-sku?launchId=129361105896</t>
    </r>
  </si>
  <si>
    <t>免费-体态塑形瑜伽-千聊内部-矩阵私域-刘芳-1V1-变美组-健康变美直播-20260509</t>
  </si>
  <si>
    <t>210500_14233697_financing</t>
  </si>
  <si>
    <r>
      <rPr>
        <u/>
        <sz val="12"/>
        <color theme="10"/>
        <rFont val="宋体"/>
        <charset val="134"/>
      </rPr>
      <t>https://t1.nicegoods.cn/financial/experience-plan-sku?launchId=129361105896&amp;wcl=210500_14233697_financing</t>
    </r>
  </si>
  <si>
    <r>
      <rPr>
        <u/>
        <sz val="12"/>
        <color theme="10"/>
        <rFont val="宋体"/>
        <charset val="134"/>
      </rPr>
      <t>https://s.xingqudao.net/SOYeg1Ub</t>
    </r>
  </si>
  <si>
    <t>免费-体态塑形瑜伽-千聊内部-矩阵私域-刘芳-朋友圈-变美组-健康变美直播-20260509</t>
  </si>
  <si>
    <t>210500_14233698_financing</t>
  </si>
  <si>
    <r>
      <rPr>
        <u/>
        <sz val="12"/>
        <color theme="10"/>
        <rFont val="宋体"/>
        <charset val="134"/>
      </rPr>
      <t>https://t1.nicegoods.cn/financial/experience-plan-sku?launchId=129361105896&amp;wcl=210500_14233698_financing</t>
    </r>
  </si>
  <si>
    <r>
      <rPr>
        <u/>
        <sz val="12"/>
        <color theme="10"/>
        <rFont val="宋体"/>
        <charset val="134"/>
      </rPr>
      <t>https://s.xingqudao.net/SOYeg1Uc</t>
    </r>
  </si>
  <si>
    <t>免费-体态塑形瑜伽-千聊内部-矩阵私域-刘芳-社群-变美组-健康变美直播-20260509</t>
  </si>
  <si>
    <t>210500_14233699_financing</t>
  </si>
  <si>
    <r>
      <rPr>
        <u/>
        <sz val="12"/>
        <color theme="10"/>
        <rFont val="宋体"/>
        <charset val="134"/>
      </rPr>
      <t>https://t1.nicegoods.cn/financial/experience-plan-sku?launchId=129361105896&amp;wcl=210500_14233699_financing</t>
    </r>
  </si>
  <si>
    <r>
      <rPr>
        <u/>
        <sz val="12"/>
        <color theme="10"/>
        <rFont val="宋体"/>
        <charset val="134"/>
      </rPr>
      <t>https://s.xingqudao.net/SOYeg1Ud</t>
    </r>
  </si>
  <si>
    <t>免费-体态塑形瑜伽-千聊内部-矩阵私域-刘芳-1V1-变美组-健康变美直播-购物车链接-20260509</t>
  </si>
  <si>
    <t>210500_14233695_financing</t>
  </si>
  <si>
    <r>
      <rPr>
        <u/>
        <sz val="12"/>
        <color theme="10"/>
        <rFont val="宋体"/>
        <charset val="134"/>
      </rPr>
      <t>https://t1.nicegoods.cn/financial/experience-plan-sku?launchId=129360805488&amp;wcl=210500_14233695_financing</t>
    </r>
  </si>
  <si>
    <r>
      <rPr>
        <u/>
        <sz val="12"/>
        <color theme="10"/>
        <rFont val="宋体"/>
        <charset val="134"/>
      </rPr>
      <t>https://s.xingqudao.net/SOYeg1UZ</t>
    </r>
  </si>
  <si>
    <t>免费-体态塑形瑜伽-千聊内部-矩阵私域-刘芳-1V1-变美组-健康变美直播-弹幕链接-20260509</t>
  </si>
  <si>
    <t>210500_14233696_financing</t>
  </si>
  <si>
    <r>
      <rPr>
        <u/>
        <sz val="12"/>
        <color theme="10"/>
        <rFont val="宋体"/>
        <charset val="134"/>
      </rPr>
      <t>https://t1.nicegoods.cn/financial/experience-plan-sku?launchId=129361105896&amp;wcl=210500_14233696_financing</t>
    </r>
  </si>
  <si>
    <r>
      <rPr>
        <u/>
        <sz val="12"/>
        <color theme="10"/>
        <rFont val="宋体"/>
        <charset val="134"/>
      </rPr>
      <t>https://s.xingqudao.net/SOYeg1Ua</t>
    </r>
  </si>
  <si>
    <t>5.14居家古法</t>
  </si>
  <si>
    <t>（购物车链接）129791101605</t>
  </si>
  <si>
    <t>【私域】-古法居家-千聊内部-0元-养正直播-购物车</t>
  </si>
  <si>
    <t>https://t1.nicegoods.cn/financial/experience-plan-sku?launchId=129791101605</t>
  </si>
  <si>
    <t>（社群专属）129791101491</t>
  </si>
  <si>
    <t>【私域】-古法居家-千聊内部-0元-养正直播-社群专属</t>
  </si>
  <si>
    <t>https://t1.nicegoods.cn/financial/experience-plan-sku?launchId=129791101491</t>
  </si>
  <si>
    <t>直播链接私域渠道-健康组</t>
  </si>
  <si>
    <t>免费-古法居家养生-千聊内部-矩阵私域-莫静雯-1v1-健康组-节气养正直播-20260511</t>
  </si>
  <si>
    <t>210500_14233940_financing</t>
  </si>
  <si>
    <r>
      <rPr>
        <u/>
        <sz val="12"/>
        <color theme="10"/>
        <rFont val="宋体"/>
        <charset val="134"/>
      </rPr>
      <t>https://t1.nicegoods.cn/financial/experience-plan-sku?launchId=129791101491&amp;wcl=210500_14233940_financing</t>
    </r>
  </si>
  <si>
    <r>
      <rPr>
        <u/>
        <sz val="12"/>
        <color theme="10"/>
        <rFont val="宋体"/>
        <charset val="134"/>
      </rPr>
      <t>https://s.xingqudao.net/SOYeh42b</t>
    </r>
  </si>
  <si>
    <t>免费-古法居家养生-千聊内部-矩阵私域-莫静雯-社群-健康组-节气养正直播-20260511</t>
  </si>
  <si>
    <t>210500_14233941_financing</t>
  </si>
  <si>
    <r>
      <rPr>
        <u/>
        <sz val="12"/>
        <color theme="10"/>
        <rFont val="宋体"/>
        <charset val="134"/>
      </rPr>
      <t>https://t1.nicegoods.cn/financial/experience-plan-sku?launchId=129791101491&amp;wcl=210500_14233941_financing</t>
    </r>
  </si>
  <si>
    <r>
      <rPr>
        <u/>
        <sz val="12"/>
        <color theme="10"/>
        <rFont val="宋体"/>
        <charset val="134"/>
      </rPr>
      <t>https://s.xingqudao.net/SOYeh42c</t>
    </r>
  </si>
  <si>
    <t>免费-古法居家养生-千聊内部-矩阵私域-莫静雯-朋友圈-健康组-节气养正直播-20260511</t>
  </si>
  <si>
    <t>210500_14233942_financing</t>
  </si>
  <si>
    <r>
      <rPr>
        <u/>
        <sz val="12"/>
        <color theme="10"/>
        <rFont val="宋体"/>
        <charset val="134"/>
      </rPr>
      <t>https://t1.nicegoods.cn/financial/experience-plan-sku?launchId=129791101491&amp;wcl=210500_14233942_financing</t>
    </r>
  </si>
  <si>
    <r>
      <rPr>
        <u/>
        <sz val="12"/>
        <color theme="10"/>
        <rFont val="宋体"/>
        <charset val="134"/>
      </rPr>
      <t>https://s.xingqudao.net/SOYeh42d</t>
    </r>
  </si>
  <si>
    <t>免费-古法居家养生-千聊内部-矩阵私域-莫静雯-1v1-健康组-节气养正直播-购物车链接-20260511</t>
  </si>
  <si>
    <t>210500_14233943_financing</t>
  </si>
  <si>
    <r>
      <rPr>
        <u/>
        <sz val="12"/>
        <color theme="10"/>
        <rFont val="宋体"/>
        <charset val="134"/>
      </rPr>
      <t>https://t1.nicegoods.cn/financial/experience-plan-sku?launchId=129791101605&amp;wcl=210500_14233943_financing</t>
    </r>
  </si>
  <si>
    <r>
      <rPr>
        <u/>
        <sz val="12"/>
        <color theme="10"/>
        <rFont val="宋体"/>
        <charset val="134"/>
      </rPr>
      <t>https://s.xingqudao.net/SOYeh42e</t>
    </r>
  </si>
  <si>
    <t>5.16普拉提</t>
  </si>
  <si>
    <t>（购物车链接）129970161032</t>
  </si>
  <si>
    <t>【私域】-千聊内部-普拉提-0元-5/16晚间-健康变美直播间-购物车</t>
  </si>
  <si>
    <r>
      <rPr>
        <u/>
        <sz val="12"/>
        <color theme="10"/>
        <rFont val="Calibri"/>
        <charset val="134"/>
      </rPr>
      <t>https://t1.nicegoods.cn/financial/experience-plan-sku?launchId=129970161032</t>
    </r>
  </si>
  <si>
    <t>（社群专属）129970161052</t>
  </si>
  <si>
    <t>【私域】-千聊内部-普拉提-0元-5/16晚间-健康变美直播间-直播弹幕</t>
  </si>
  <si>
    <r>
      <rPr>
        <u/>
        <sz val="12"/>
        <color theme="10"/>
        <rFont val="Calibri"/>
        <charset val="134"/>
      </rPr>
      <t>https://t1.nicegoods.cn/financial/experience-plan-sku?launchId=129970161052</t>
    </r>
  </si>
  <si>
    <t>免费-普拉提-千聊内部-矩阵私域-刘芳-1V1-变美组-健康变美直播-20260512</t>
  </si>
  <si>
    <t>210500_14234218_financing</t>
  </si>
  <si>
    <r>
      <rPr>
        <u/>
        <sz val="12"/>
        <color theme="10"/>
        <rFont val="宋体"/>
        <charset val="134"/>
      </rPr>
      <t>https://t1.nicegoods.cn/financial/experience-plan-sku?launchId=129970161052&amp;wcl=210500_14234218_financing</t>
    </r>
  </si>
  <si>
    <r>
      <rPr>
        <u/>
        <sz val="12"/>
        <color theme="10"/>
        <rFont val="宋体"/>
        <charset val="134"/>
      </rPr>
      <t>https://s.xingqudao.net/SOYehi4u</t>
    </r>
  </si>
  <si>
    <t>免费-普拉提-千聊内部-矩阵私域-刘芳-朋友圈-变美组-健康变美直播-20260512</t>
  </si>
  <si>
    <t>210500_14234219_financing</t>
  </si>
  <si>
    <r>
      <rPr>
        <u/>
        <sz val="12"/>
        <color theme="10"/>
        <rFont val="宋体"/>
        <charset val="134"/>
      </rPr>
      <t>https://t1.nicegoods.cn/financial/experience-plan-sku?launchId=129970161052&amp;wcl=210500_14234219_financing</t>
    </r>
  </si>
  <si>
    <r>
      <rPr>
        <u/>
        <sz val="12"/>
        <color theme="10"/>
        <rFont val="宋体"/>
        <charset val="134"/>
      </rPr>
      <t>https://s.xingqudao.net/SOYehi4v</t>
    </r>
  </si>
  <si>
    <t>免费-普拉提-千聊内部-矩阵私域-刘芳-社群-变美组-健康变美直播-20260512</t>
  </si>
  <si>
    <t>210500_14234220_financing</t>
  </si>
  <si>
    <r>
      <rPr>
        <u/>
        <sz val="12"/>
        <color theme="10"/>
        <rFont val="宋体"/>
        <charset val="134"/>
      </rPr>
      <t>https://t1.nicegoods.cn/financial/experience-plan-sku?launchId=129970161052&amp;wcl=210500_14234220_financing</t>
    </r>
  </si>
  <si>
    <r>
      <rPr>
        <u/>
        <sz val="12"/>
        <color theme="10"/>
        <rFont val="宋体"/>
        <charset val="134"/>
      </rPr>
      <t>https://s.xingqudao.net/SOYehi4w</t>
    </r>
  </si>
  <si>
    <t>免费-普拉提-千聊内部-矩阵私域-刘芳-1V1-变美组-健康变美直播-购物车链接-20260512</t>
  </si>
  <si>
    <t>210500_14234216_financing</t>
  </si>
  <si>
    <r>
      <rPr>
        <u/>
        <sz val="12"/>
        <color theme="10"/>
        <rFont val="宋体"/>
        <charset val="134"/>
      </rPr>
      <t>https://t1.nicegoods.cn/financial/experience-plan-sku?launchId=129970161032&amp;wcl=210500_14234216_financing</t>
    </r>
  </si>
  <si>
    <r>
      <rPr>
        <u/>
        <sz val="12"/>
        <color theme="10"/>
        <rFont val="宋体"/>
        <charset val="134"/>
      </rPr>
      <t>https://s.xingqudao.net/SOYehi4s</t>
    </r>
  </si>
  <si>
    <t>免费-普拉提-千聊内部-矩阵私域-刘芳-1V1-变美组-健康变美直播-弹幕链接-20260512</t>
  </si>
  <si>
    <t>210500_14234217_financing</t>
  </si>
  <si>
    <r>
      <rPr>
        <u/>
        <sz val="12"/>
        <color theme="10"/>
        <rFont val="宋体"/>
        <charset val="134"/>
      </rPr>
      <t>https://t1.nicegoods.cn/financial/experience-plan-sku?launchId=129970161052&amp;wcl=210500_14234217_financing</t>
    </r>
  </si>
  <si>
    <r>
      <rPr>
        <u/>
        <sz val="12"/>
        <color theme="10"/>
        <rFont val="宋体"/>
        <charset val="134"/>
      </rPr>
      <t>https://s.xingqudao.net/SOYehi4t</t>
    </r>
  </si>
  <si>
    <t>5/17 
摄影美学</t>
  </si>
  <si>
    <t>【私域】-摄影美学-千聊内部-0元-兴趣组-兴趣直播-购物车-5.17开播</t>
  </si>
  <si>
    <t>【私域】-摄影美学-千聊内部-0元-兴趣组-兴趣直播-直播弹幕-5.17开播</t>
  </si>
  <si>
    <t>免费-摄影美学-千聊内部-矩阵私域-李慧-1v1-兴趣组-直播弹幕渠道-20260512</t>
  </si>
  <si>
    <r>
      <rPr>
        <u/>
        <sz val="12"/>
        <color theme="10"/>
        <rFont val="宋体"/>
        <charset val="134"/>
      </rPr>
      <t>https://s.xingqudao.net/SOYehrPH</t>
    </r>
  </si>
  <si>
    <t>接量2-生活</t>
  </si>
  <si>
    <t>210500_14235122_financing</t>
  </si>
  <si>
    <r>
      <rPr>
        <u/>
        <sz val="12"/>
        <color theme="10"/>
        <rFont val="宋体"/>
        <charset val="134"/>
      </rPr>
      <t>https://t1.nicegoods.cn/financial/experience-plan-sku?launchId=130098516800&amp;wcl=210500_14235122_financing</t>
    </r>
  </si>
  <si>
    <t>免费-摄影美学-千聊内部-矩阵私域-李慧-社群-兴趣组-兴趣直播-20260512</t>
  </si>
  <si>
    <r>
      <rPr>
        <u/>
        <sz val="12"/>
        <color theme="10"/>
        <rFont val="宋体"/>
        <charset val="134"/>
      </rPr>
      <t>https://s.xingqudao.net/SOYehrPD</t>
    </r>
  </si>
  <si>
    <t>210500_14235118_financing</t>
  </si>
  <si>
    <r>
      <rPr>
        <u/>
        <sz val="12"/>
        <color theme="10"/>
        <rFont val="宋体"/>
        <charset val="134"/>
      </rPr>
      <t>https://t1.nicegoods.cn/financial/experience-plan-sku?launchId=130098516800&amp;wcl=210500_14235118_financing</t>
    </r>
  </si>
  <si>
    <t>免费-摄影美学-千聊内部-矩阵私域-李慧-1v1-兴趣组-兴趣直播-20260512</t>
  </si>
  <si>
    <r>
      <rPr>
        <u/>
        <sz val="12"/>
        <color theme="10"/>
        <rFont val="宋体"/>
        <charset val="134"/>
      </rPr>
      <t>https://s.xingqudao.net/SOYehrPE</t>
    </r>
  </si>
  <si>
    <t>210500_14235119_financing</t>
  </si>
  <si>
    <r>
      <rPr>
        <u/>
        <sz val="12"/>
        <color theme="10"/>
        <rFont val="宋体"/>
        <charset val="134"/>
      </rPr>
      <t>https://t1.nicegoods.cn/financial/experience-plan-sku?launchId=130098516800&amp;wcl=210500_14235119_financing</t>
    </r>
  </si>
  <si>
    <t>免费-摄影美学-千聊内部-矩阵私域-李慧-朋友圈-兴趣组-兴趣直播-20260512</t>
  </si>
  <si>
    <r>
      <rPr>
        <u/>
        <sz val="12"/>
        <color theme="10"/>
        <rFont val="宋体"/>
        <charset val="134"/>
      </rPr>
      <t>https://s.xingqudao.net/SOYehrPF</t>
    </r>
  </si>
  <si>
    <t>210500_14235120_financing</t>
  </si>
  <si>
    <r>
      <rPr>
        <u/>
        <sz val="12"/>
        <color theme="10"/>
        <rFont val="宋体"/>
        <charset val="134"/>
      </rPr>
      <t>https://t1.nicegoods.cn/financial/experience-plan-sku?launchId=130098516800&amp;wcl=210500_14235120_financing</t>
    </r>
  </si>
  <si>
    <t>免费-摄影美学-千聊内部-矩阵私域-李慧-1v1-兴趣组-购物车-20260512</t>
  </si>
  <si>
    <r>
      <rPr>
        <u/>
        <sz val="12"/>
        <color theme="10"/>
        <rFont val="宋体"/>
        <charset val="134"/>
      </rPr>
      <t>https://s.xingqudao.net/SOYehrPG</t>
    </r>
  </si>
  <si>
    <t>210500_14235121_financing</t>
  </si>
  <si>
    <r>
      <rPr>
        <u/>
        <sz val="12"/>
        <color theme="10"/>
        <rFont val="宋体"/>
        <charset val="134"/>
      </rPr>
      <t>https://t1.nicegoods.cn/financial/experience-plan-sku?launchId=130089008084&amp;wcl=210500_14235121_financing</t>
    </r>
  </si>
  <si>
    <t>5.15 0元编织</t>
  </si>
  <si>
    <t>【私域】-编织（戴敏)-千聊内部-0元-兴趣直播-直播弹幕-5.15播</t>
  </si>
  <si>
    <t>【私域】-编织（戴敏)-千聊内部-0元-兴趣直播-购物车-5.15播</t>
  </si>
  <si>
    <t>coco预约链接</t>
  </si>
  <si>
    <r>
      <rPr>
        <u/>
        <sz val="12"/>
        <color theme="10"/>
        <rFont val="宋体"/>
        <charset val="134"/>
      </rPr>
      <t>https://s.xingqudao.net/SOYeiLGI</t>
    </r>
  </si>
  <si>
    <t>免费-编织【戴敏】-千聊内部-矩阵私域-李慧-1v1-兴趣组-直播弹幕渠道-20260513</t>
  </si>
  <si>
    <r>
      <rPr>
        <u/>
        <sz val="12"/>
        <color theme="10"/>
        <rFont val="宋体"/>
        <charset val="134"/>
      </rPr>
      <t>https://s.xingqudao.net/SOYeiLCv</t>
    </r>
  </si>
  <si>
    <t>210500_14235455_financing</t>
  </si>
  <si>
    <r>
      <rPr>
        <u/>
        <sz val="12"/>
        <color theme="10"/>
        <rFont val="宋体"/>
        <charset val="134"/>
      </rPr>
      <t>https://t1.nicegoods.cn/financial/experience-plan-sku?launchId=130244680630&amp;wcl=210500_14235455_financing</t>
    </r>
  </si>
  <si>
    <t>免费-编织【戴敏】-千聊内部-矩阵私域-李慧-社群-兴趣组-兴趣直播-20260513</t>
  </si>
  <si>
    <r>
      <rPr>
        <u/>
        <sz val="12"/>
        <color theme="10"/>
        <rFont val="宋体"/>
        <charset val="134"/>
      </rPr>
      <t>https://s.xingqudao.net/SOYeiLCr</t>
    </r>
  </si>
  <si>
    <t>210500_14235451_financing</t>
  </si>
  <si>
    <r>
      <rPr>
        <u/>
        <sz val="12"/>
        <color theme="10"/>
        <rFont val="宋体"/>
        <charset val="134"/>
      </rPr>
      <t>https://t1.nicegoods.cn/financial/experience-plan-sku?launchId=130244680630&amp;wcl=210500_14235451_financing</t>
    </r>
  </si>
  <si>
    <t>免费-编织【戴敏】-千聊内部-矩阵私域-李慧-1v1-兴趣组-兴趣直播-20260513</t>
  </si>
  <si>
    <r>
      <rPr>
        <u/>
        <sz val="12"/>
        <color theme="10"/>
        <rFont val="宋体"/>
        <charset val="134"/>
      </rPr>
      <t>https://s.xingqudao.net/SOYeiLCs</t>
    </r>
  </si>
  <si>
    <t>210500_14235452_financing</t>
  </si>
  <si>
    <r>
      <rPr>
        <u/>
        <sz val="12"/>
        <color theme="10"/>
        <rFont val="宋体"/>
        <charset val="134"/>
      </rPr>
      <t>https://t1.nicegoods.cn/financial/experience-plan-sku?launchId=130244680630&amp;wcl=210500_14235452_financing</t>
    </r>
  </si>
  <si>
    <t>免费-编织【戴敏】-千聊内部-矩阵私域-李慧-朋友圈-兴趣组-兴趣直播-20260513</t>
  </si>
  <si>
    <r>
      <rPr>
        <u/>
        <sz val="12"/>
        <color theme="10"/>
        <rFont val="宋体"/>
        <charset val="134"/>
      </rPr>
      <t>https://s.xingqudao.net/SOYeiLCt</t>
    </r>
  </si>
  <si>
    <t>210500_14235453_financing</t>
  </si>
  <si>
    <r>
      <rPr>
        <u/>
        <sz val="12"/>
        <color theme="10"/>
        <rFont val="宋体"/>
        <charset val="134"/>
      </rPr>
      <t>https://t1.nicegoods.cn/financial/experience-plan-sku?launchId=130244680630&amp;wcl=210500_14235453_financing</t>
    </r>
  </si>
  <si>
    <t>免费-编织【戴敏】-千聊内部-矩阵私域-李慧-1v1-兴趣组-购物车-20260513</t>
  </si>
  <si>
    <r>
      <rPr>
        <u/>
        <sz val="12"/>
        <color theme="10"/>
        <rFont val="宋体"/>
        <charset val="134"/>
      </rPr>
      <t>https://s.xingqudao.net/SOYeiLCu</t>
    </r>
  </si>
  <si>
    <t>210500_14235454_financing</t>
  </si>
  <si>
    <r>
      <rPr>
        <u/>
        <sz val="12"/>
        <color theme="10"/>
        <rFont val="宋体"/>
        <charset val="134"/>
      </rPr>
      <t>https://t1.nicegoods.cn/financial/experience-plan-sku?launchId=130245278766&amp;wcl=210500_14235454_financing</t>
    </r>
  </si>
  <si>
    <t>4.27-5.3</t>
  </si>
  <si>
    <t>截止4/19</t>
  </si>
  <si>
    <t>2025年1月5日—2026年4月19日</t>
  </si>
  <si>
    <t>2025年10月6日—2025年1月4日</t>
  </si>
  <si>
    <t>2025年4月7日—2025年10月5日</t>
  </si>
  <si>
    <t>2023年1月—2025年4月6日</t>
  </si>
  <si>
    <t>2026年1月1日—2026年4月19日</t>
  </si>
  <si>
    <t>亚健康</t>
  </si>
  <si>
    <t>5.11-5.17</t>
  </si>
  <si>
    <t>截止5/3</t>
  </si>
  <si>
    <t>2026年1月19日—2026年5月3日</t>
  </si>
  <si>
    <t>2025年10月20日—2026年1月18日</t>
  </si>
  <si>
    <t>2025年4月21日—2025年10月18日</t>
  </si>
  <si>
    <t>2023年1月—2025年4月20日</t>
  </si>
  <si>
    <t>截止4/26</t>
  </si>
  <si>
    <t>2026年1月12日—2026年4月26日</t>
  </si>
  <si>
    <t>2025年10月13日—2026年1月11日</t>
  </si>
  <si>
    <t>2025年4月14日—2025年10月12日</t>
  </si>
  <si>
    <t>2023年1月—2025年4月13日</t>
  </si>
  <si>
    <t>2026年1月1日—2026年5月3日</t>
  </si>
  <si>
    <t>短视频</t>
  </si>
  <si>
    <r>
      <rPr>
        <b/>
        <sz val="14"/>
        <color rgb="FFFFFFFF"/>
        <rFont val="等线"/>
        <charset val="134"/>
        <scheme val="minor"/>
      </rPr>
      <t xml:space="preserve">睡眠
</t>
    </r>
    <r>
      <rPr>
        <sz val="10"/>
        <rFont val="宋体"/>
        <charset val="134"/>
      </rPr>
      <t xml:space="preserve">复用3.27
</t>
    </r>
    <r>
      <rPr>
        <sz val="10"/>
        <rFont val="宋体"/>
        <charset val="134"/>
      </rPr>
      <t xml:space="preserve">需剪辑
</t>
    </r>
    <r>
      <rPr>
        <sz val="10"/>
        <rFont val="宋体"/>
        <charset val="134"/>
      </rPr>
      <t xml:space="preserve">开播时间：7:30
</t>
    </r>
    <r>
      <rPr>
        <sz val="10"/>
        <rFont val="宋体"/>
        <charset val="134"/>
      </rPr>
      <t>预约链接：</t>
    </r>
    <r>
      <rPr>
        <b/>
        <u/>
        <sz val="13.5"/>
        <color theme="10"/>
        <rFont val="Calibri"/>
        <charset val="134"/>
      </rPr>
      <t>https://s.xingqudao.net/SOYeapwS</t>
    </r>
  </si>
  <si>
    <r>
      <rPr>
        <b/>
        <sz val="14"/>
        <color rgb="FFFFFFFF"/>
        <rFont val="等线"/>
        <charset val="134"/>
        <scheme val="minor"/>
      </rPr>
      <t xml:space="preserve">逆龄女神瑜伽
</t>
    </r>
    <r>
      <rPr>
        <sz val="10"/>
        <rFont val="宋体"/>
        <charset val="134"/>
      </rPr>
      <t xml:space="preserve">已有单课id，复用3.21
</t>
    </r>
    <r>
      <rPr>
        <sz val="10"/>
        <rFont val="宋体"/>
        <charset val="134"/>
      </rPr>
      <t xml:space="preserve">开播时间：7:30
</t>
    </r>
    <r>
      <rPr>
        <sz val="10"/>
        <rFont val="宋体"/>
        <charset val="134"/>
      </rPr>
      <t>预约链接：</t>
    </r>
    <r>
      <rPr>
        <b/>
        <u/>
        <sz val="13.5"/>
        <color theme="10"/>
        <rFont val="Calibri"/>
        <charset val="134"/>
      </rPr>
      <t>https://s.xingqudao.net/SOYeaHs6</t>
    </r>
  </si>
  <si>
    <t>【存量】
2023年1月—2026年4月26日
健康营养（204347）</t>
  </si>
  <si>
    <r>
      <rPr>
        <b/>
        <sz val="13.5"/>
        <color rgb="FF1F2329"/>
        <rFont val="Calibri"/>
        <charset val="134"/>
      </rPr>
      <t xml:space="preserve">【存量】
</t>
    </r>
    <r>
      <rPr>
        <b/>
        <sz val="13.5"/>
        <color rgb="FFF54A45"/>
        <rFont val="Calibri"/>
        <charset val="134"/>
      </rPr>
      <t xml:space="preserve">2023年1月—2026年4月26日
</t>
    </r>
    <r>
      <rPr>
        <b/>
        <sz val="13.5"/>
        <color rgb="FF1F2329"/>
        <rFont val="Calibri"/>
        <charset val="134"/>
      </rPr>
      <t>固气（63401）气血（261280）</t>
    </r>
  </si>
  <si>
    <r>
      <rPr>
        <b/>
        <sz val="13.5"/>
        <color rgb="FF1F2329"/>
        <rFont val="Calibri"/>
        <charset val="134"/>
      </rPr>
      <t xml:space="preserve">【存量】
</t>
    </r>
    <r>
      <rPr>
        <b/>
        <sz val="13.5"/>
        <color rgb="FFF54A45"/>
        <rFont val="Calibri"/>
        <charset val="134"/>
      </rPr>
      <t xml:space="preserve">2023年1月—2026年4月26日
</t>
    </r>
    <r>
      <rPr>
        <b/>
        <sz val="13.5"/>
        <color rgb="FF1F2329"/>
        <rFont val="Calibri"/>
        <charset val="134"/>
      </rPr>
      <t xml:space="preserve">健康营养（204347）
</t>
    </r>
    <r>
      <rPr>
        <b/>
        <sz val="13.5"/>
        <color rgb="FFF54A45"/>
        <rFont val="Calibri"/>
        <charset val="134"/>
      </rPr>
      <t xml:space="preserve">2023年1月—2025年4月13日
</t>
    </r>
    <r>
      <rPr>
        <b/>
        <sz val="13.5"/>
        <color rgb="FF1F2329"/>
        <rFont val="Calibri"/>
        <charset val="134"/>
      </rPr>
      <t>太极SA(191303)</t>
    </r>
  </si>
  <si>
    <r>
      <rPr>
        <b/>
        <sz val="13.5"/>
        <color rgb="FFF54A45"/>
        <rFont val="Calibri"/>
        <charset val="134"/>
      </rPr>
      <t xml:space="preserve">2023年1月—2025年4月13日
</t>
    </r>
    <r>
      <rPr>
        <b/>
        <sz val="13.5"/>
        <color rgb="FF1F2329"/>
        <rFont val="Calibri"/>
        <charset val="134"/>
      </rPr>
      <t>固气（63401）</t>
    </r>
  </si>
  <si>
    <r>
      <rPr>
        <b/>
        <sz val="13.5"/>
        <color rgb="FF1F2329"/>
        <rFont val="Calibri"/>
        <charset val="134"/>
      </rPr>
      <t xml:space="preserve">【存量】
</t>
    </r>
    <r>
      <rPr>
        <b/>
        <sz val="13.5"/>
        <color rgb="FFF54A45"/>
        <rFont val="Calibri"/>
        <charset val="134"/>
      </rPr>
      <t xml:space="preserve">2023年1月—2025年10月12日
</t>
    </r>
    <r>
      <rPr>
        <b/>
        <sz val="13.5"/>
        <color rgb="FF1F2329"/>
        <rFont val="Calibri"/>
        <charset val="134"/>
      </rPr>
      <t>中医变美（157884）
2023年1月—2025年10月5日
普拉提SA(114619)</t>
    </r>
  </si>
  <si>
    <r>
      <rPr>
        <b/>
        <sz val="13.5"/>
        <color rgb="FF1F2329"/>
        <rFont val="Calibri"/>
        <charset val="134"/>
      </rPr>
      <t xml:space="preserve">【存量】
</t>
    </r>
    <r>
      <rPr>
        <b/>
        <sz val="13.5"/>
        <color rgb="FFF54A45"/>
        <rFont val="Calibri"/>
        <charset val="134"/>
      </rPr>
      <t xml:space="preserve">2023年1月—2025年4月13日
</t>
    </r>
    <r>
      <rPr>
        <b/>
        <sz val="13.5"/>
        <color rgb="FF1F2329"/>
        <rFont val="Calibri"/>
        <charset val="134"/>
      </rPr>
      <t>瑜伽SABCD(342915)</t>
    </r>
  </si>
  <si>
    <r>
      <rPr>
        <b/>
        <sz val="13.5"/>
        <color rgb="FF1F2329"/>
        <rFont val="Calibri"/>
        <charset val="134"/>
      </rPr>
      <t xml:space="preserve">【存量】
</t>
    </r>
    <r>
      <rPr>
        <b/>
        <sz val="13.5"/>
        <color rgb="FFF54A45"/>
        <rFont val="Calibri"/>
        <charset val="134"/>
      </rPr>
      <t xml:space="preserve">2025年10月13日—2026年4月26日
</t>
    </r>
    <r>
      <rPr>
        <b/>
        <sz val="13.5"/>
        <color rgb="FF1F2329"/>
        <rFont val="Calibri"/>
        <charset val="134"/>
      </rPr>
      <t xml:space="preserve">中医变美（78569）
</t>
    </r>
    <r>
      <rPr>
        <b/>
        <sz val="13.5"/>
        <color rgb="FFF54A45"/>
        <rFont val="Calibri"/>
        <charset val="134"/>
      </rPr>
      <t xml:space="preserve">2025年10月6日—2026年4月19日
</t>
    </r>
    <r>
      <rPr>
        <b/>
        <sz val="13.5"/>
        <color rgb="FF1F2329"/>
        <rFont val="Calibri"/>
        <charset val="134"/>
      </rPr>
      <t xml:space="preserve">普拉提SA(85672)
</t>
    </r>
    <r>
      <rPr>
        <b/>
        <sz val="13.5"/>
        <color rgb="FFF54A45"/>
        <rFont val="Calibri"/>
        <charset val="134"/>
      </rPr>
      <t xml:space="preserve">2025年10月13日—2026年4月26日
</t>
    </r>
    <r>
      <rPr>
        <b/>
        <sz val="13.5"/>
        <color rgb="FF1F2329"/>
        <rFont val="Calibri"/>
        <charset val="134"/>
      </rPr>
      <t>普拉提BCD(85979)</t>
    </r>
  </si>
  <si>
    <t>古法居家姚国诚</t>
  </si>
  <si>
    <t>手机摄影大赛-耿春晖</t>
  </si>
  <si>
    <t>魏巍异地
APP1号位</t>
  </si>
  <si>
    <r>
      <rPr>
        <sz val="13.5"/>
        <color rgb="FF000000"/>
        <rFont val="Calibri"/>
        <charset val="134"/>
      </rPr>
      <t xml:space="preserve">【存量】
</t>
    </r>
    <r>
      <rPr>
        <b/>
        <sz val="13.5"/>
        <color rgb="FFF54A45"/>
        <rFont val="Calibri"/>
        <charset val="134"/>
      </rPr>
      <t xml:space="preserve">2025年10月13日—2026年4月26日
</t>
    </r>
    <r>
      <rPr>
        <sz val="13.5"/>
        <color rgb="FF000000"/>
        <rFont val="Calibri"/>
        <charset val="134"/>
      </rPr>
      <t xml:space="preserve">睡眠、五禽戏（71369）
</t>
    </r>
    <r>
      <rPr>
        <b/>
        <sz val="13.5"/>
        <color rgb="FFF54A45"/>
        <rFont val="Calibri"/>
        <charset val="134"/>
      </rPr>
      <t xml:space="preserve">2023年1月—2026年4月26日
</t>
    </r>
    <r>
      <rPr>
        <sz val="13.5"/>
        <color rgb="FF000000"/>
        <rFont val="Calibri"/>
        <charset val="134"/>
      </rPr>
      <t xml:space="preserve">亚健康（19558）
</t>
    </r>
    <r>
      <rPr>
        <b/>
        <sz val="13.5"/>
        <color rgb="FFF54A45"/>
        <rFont val="Calibri"/>
        <charset val="134"/>
      </rPr>
      <t xml:space="preserve">2025年4月14日—2026年4月26日
</t>
    </r>
    <r>
      <rPr>
        <sz val="13.5"/>
        <color rgb="FF000000"/>
        <rFont val="Calibri"/>
        <charset val="134"/>
      </rPr>
      <t>太极SA(370697)</t>
    </r>
  </si>
  <si>
    <r>
      <rPr>
        <sz val="13.5"/>
        <color rgb="FF1F2329"/>
        <rFont val="Calibri"/>
        <charset val="134"/>
      </rPr>
      <t xml:space="preserve">【存量】
</t>
    </r>
    <r>
      <rPr>
        <b/>
        <sz val="13.5"/>
        <color rgb="FFF54A45"/>
        <rFont val="Calibri"/>
        <charset val="134"/>
      </rPr>
      <t xml:space="preserve">2023年1月—2026年4月26日
</t>
    </r>
    <r>
      <rPr>
        <sz val="13.5"/>
        <color rgb="FF1F2329"/>
        <rFont val="Calibri"/>
        <charset val="134"/>
      </rPr>
      <t xml:space="preserve">东方养正瑜伽（115188）
面部驻颜瑜伽（20109）
</t>
    </r>
    <r>
      <rPr>
        <b/>
        <sz val="13.5"/>
        <color rgb="FFF54A45"/>
        <rFont val="Calibri"/>
        <charset val="134"/>
      </rPr>
      <t xml:space="preserve">2025年4月14日—2026年4月26日
</t>
    </r>
    <r>
      <rPr>
        <sz val="13.5"/>
        <color rgb="FF1F2329"/>
        <rFont val="Calibri"/>
        <charset val="134"/>
      </rPr>
      <t>瑜伽SA(184629)
瑜伽BCD(163084)</t>
    </r>
  </si>
  <si>
    <r>
      <rPr>
        <sz val="13.5"/>
        <color rgb="FF1F2329"/>
        <rFont val="Calibri"/>
        <charset val="134"/>
      </rPr>
      <t xml:space="preserve">【存量】
</t>
    </r>
    <r>
      <rPr>
        <b/>
        <sz val="13.5"/>
        <color rgb="FFF54A45"/>
        <rFont val="Calibri"/>
        <charset val="134"/>
      </rPr>
      <t xml:space="preserve">2023年1月—2026年4月19日
</t>
    </r>
    <r>
      <rPr>
        <sz val="13.5"/>
        <color rgb="FF1F2329"/>
        <rFont val="Calibri"/>
        <charset val="134"/>
      </rPr>
      <t xml:space="preserve">手机摄影SA(138840)
</t>
    </r>
    <r>
      <rPr>
        <b/>
        <sz val="13.5"/>
        <color rgb="FFF54A45"/>
        <rFont val="Calibri"/>
        <charset val="134"/>
      </rPr>
      <t xml:space="preserve">2025年10月13日—2026年4月26日
</t>
    </r>
    <r>
      <rPr>
        <sz val="13.5"/>
        <color rgb="FF1F2329"/>
        <rFont val="Calibri"/>
        <charset val="134"/>
      </rPr>
      <t xml:space="preserve">唱歌（209627）
</t>
    </r>
    <r>
      <rPr>
        <b/>
        <sz val="13.5"/>
        <color rgb="FFF54A45"/>
        <rFont val="Calibri"/>
        <charset val="134"/>
      </rPr>
      <t xml:space="preserve">2026年1月1日—2026年4月26日
</t>
    </r>
    <r>
      <rPr>
        <sz val="13.5"/>
        <color rgb="FF1F2329"/>
        <rFont val="Calibri"/>
        <charset val="134"/>
      </rPr>
      <t>国际声乐、摄影美学（38165）</t>
    </r>
  </si>
  <si>
    <t>朋友圈宣发资源位</t>
  </si>
  <si>
    <t>数字人直播
懒人吃瘦
19:00</t>
  </si>
  <si>
    <t>健康厨艺IP测试</t>
  </si>
  <si>
    <t>定时负责人</t>
  </si>
  <si>
    <r>
      <rPr>
        <b/>
        <sz val="14"/>
        <color rgb="FFFFFFFF"/>
        <rFont val="等线"/>
        <charset val="134"/>
        <scheme val="minor"/>
      </rPr>
      <t xml:space="preserve">2025.5.16健康营养
</t>
    </r>
    <r>
      <rPr>
        <sz val="10"/>
        <rFont val="宋体"/>
        <charset val="134"/>
      </rPr>
      <t xml:space="preserve">开播时间：19:00
</t>
    </r>
    <r>
      <rPr>
        <sz val="10"/>
        <rFont val="宋体"/>
        <charset val="134"/>
      </rPr>
      <t xml:space="preserve">直播间ID：3660238220
</t>
    </r>
    <r>
      <rPr>
        <sz val="10"/>
        <rFont val="宋体"/>
        <charset val="134"/>
      </rPr>
      <t>预约链接：</t>
    </r>
    <r>
      <rPr>
        <b/>
        <u/>
        <sz val="13.5"/>
        <color theme="10"/>
        <rFont val="Calibri"/>
        <charset val="134"/>
      </rPr>
      <t>https://s.xingqudao.net/SOYeaj65</t>
    </r>
  </si>
  <si>
    <r>
      <rPr>
        <b/>
        <sz val="14"/>
        <color rgb="FFFFFFFF"/>
        <rFont val="等线"/>
        <charset val="134"/>
        <scheme val="minor"/>
      </rPr>
      <t xml:space="preserve">君合太极-刘君合
</t>
    </r>
    <r>
      <rPr>
        <sz val="10"/>
        <rFont val="宋体"/>
        <charset val="134"/>
      </rPr>
      <t xml:space="preserve">复用4.26
</t>
    </r>
    <r>
      <rPr>
        <sz val="10"/>
        <rFont val="宋体"/>
        <charset val="134"/>
      </rPr>
      <t xml:space="preserve">开播时间：19:00
</t>
    </r>
    <r>
      <rPr>
        <sz val="10"/>
        <rFont val="宋体"/>
        <charset val="134"/>
      </rPr>
      <t>预约链接：</t>
    </r>
    <r>
      <rPr>
        <b/>
        <u/>
        <sz val="13.5"/>
        <color theme="10"/>
        <rFont val="Calibri"/>
        <charset val="134"/>
      </rPr>
      <t>https://s.xingqudao.net/SOYeaq2o</t>
    </r>
  </si>
  <si>
    <r>
      <rPr>
        <b/>
        <sz val="14"/>
        <color rgb="FFFFFFFF"/>
        <rFont val="等线"/>
        <charset val="134"/>
        <scheme val="minor"/>
      </rPr>
      <t xml:space="preserve">摄影美学-段晓晖单人
</t>
    </r>
    <r>
      <rPr>
        <sz val="10"/>
        <rFont val="宋体"/>
        <charset val="134"/>
      </rPr>
      <t xml:space="preserve">复用4.14日段
</t>
    </r>
    <r>
      <rPr>
        <sz val="10"/>
        <rFont val="宋体"/>
        <charset val="134"/>
      </rPr>
      <t xml:space="preserve">直播间ID：3660448053
</t>
    </r>
    <r>
      <rPr>
        <sz val="10"/>
        <rFont val="宋体"/>
        <charset val="134"/>
      </rPr>
      <t xml:space="preserve">开播时间：19:00
</t>
    </r>
    <r>
      <rPr>
        <sz val="10"/>
        <rFont val="宋体"/>
        <charset val="134"/>
      </rPr>
      <t>预约链接：</t>
    </r>
    <r>
      <rPr>
        <b/>
        <u/>
        <sz val="13.5"/>
        <color theme="10"/>
        <rFont val="Calibri"/>
        <charset val="134"/>
      </rPr>
      <t>https://s.xingqudao.net/SOYeaj8Z</t>
    </r>
  </si>
  <si>
    <r>
      <rPr>
        <b/>
        <sz val="14"/>
        <color rgb="FFFFFFFF"/>
        <rFont val="等线"/>
        <charset val="134"/>
        <scheme val="minor"/>
      </rPr>
      <t xml:space="preserve">短视频复用（跟4.11一样）
</t>
    </r>
    <r>
      <rPr>
        <sz val="10"/>
        <rFont val="宋体"/>
        <charset val="134"/>
      </rPr>
      <t xml:space="preserve">不需要剪辑
</t>
    </r>
    <r>
      <rPr>
        <sz val="10"/>
        <rFont val="宋体"/>
        <charset val="134"/>
      </rPr>
      <t xml:space="preserve">开播时间：19:00
</t>
    </r>
    <r>
      <rPr>
        <sz val="10"/>
        <rFont val="宋体"/>
        <charset val="134"/>
      </rPr>
      <t xml:space="preserve">直播间ID：3660460142
</t>
    </r>
    <r>
      <rPr>
        <sz val="10"/>
        <rFont val="宋体"/>
        <charset val="134"/>
      </rPr>
      <t>预约链接：</t>
    </r>
    <r>
      <rPr>
        <b/>
        <u/>
        <sz val="13.5"/>
        <color theme="10"/>
        <rFont val="Calibri"/>
        <charset val="134"/>
      </rPr>
      <t>https://s.xingqudao.net/SOYeaHtt</t>
    </r>
  </si>
  <si>
    <r>
      <rPr>
        <sz val="13.5"/>
        <color rgb="FF000000"/>
        <rFont val="Calibri"/>
        <charset val="134"/>
      </rPr>
      <t xml:space="preserve">【存量】
</t>
    </r>
    <r>
      <rPr>
        <b/>
        <sz val="13.5"/>
        <color rgb="FFF54A45"/>
        <rFont val="Calibri"/>
        <charset val="134"/>
      </rPr>
      <t xml:space="preserve">2023年1月—2025年10月12日
</t>
    </r>
    <r>
      <rPr>
        <sz val="13.5"/>
        <color rgb="FF000000"/>
        <rFont val="Calibri"/>
        <charset val="134"/>
      </rPr>
      <t xml:space="preserve">五禽戏、睡眠（160219）
</t>
    </r>
    <r>
      <rPr>
        <b/>
        <sz val="13.5"/>
        <color rgb="FFF54A45"/>
        <rFont val="Calibri"/>
        <charset val="134"/>
      </rPr>
      <t xml:space="preserve">2023年1月—2025年4月13日
</t>
    </r>
    <r>
      <rPr>
        <sz val="13.5"/>
        <color rgb="FF000000"/>
        <rFont val="Calibri"/>
        <charset val="134"/>
      </rPr>
      <t>太极BCD（280723）</t>
    </r>
  </si>
  <si>
    <r>
      <rPr>
        <sz val="13.5"/>
        <color rgb="FF000000"/>
        <rFont val="Calibri"/>
        <charset val="134"/>
      </rPr>
      <t xml:space="preserve">【存量】
</t>
    </r>
    <r>
      <rPr>
        <b/>
        <sz val="13.5"/>
        <color rgb="FFF54A45"/>
        <rFont val="Calibri"/>
        <charset val="134"/>
      </rPr>
      <t xml:space="preserve">2025年4月14日—2026年4月26日
</t>
    </r>
    <r>
      <rPr>
        <sz val="13.5"/>
        <color rgb="FF000000"/>
        <rFont val="Calibri"/>
        <charset val="134"/>
      </rPr>
      <t>太极BCD（449147）</t>
    </r>
  </si>
  <si>
    <r>
      <rPr>
        <sz val="13.5"/>
        <color rgb="FF000000"/>
        <rFont val="Calibri"/>
        <charset val="134"/>
      </rPr>
      <t xml:space="preserve">【存量】
</t>
    </r>
    <r>
      <rPr>
        <b/>
        <sz val="13.5"/>
        <color rgb="FFF54A45"/>
        <rFont val="Calibri"/>
        <charset val="134"/>
      </rPr>
      <t xml:space="preserve">2023年1月—2026年4月26日
</t>
    </r>
    <r>
      <rPr>
        <sz val="13.5"/>
        <color rgb="FF000000"/>
        <rFont val="Calibri"/>
        <charset val="134"/>
      </rPr>
      <t>短视频（245086）</t>
    </r>
  </si>
  <si>
    <r>
      <rPr>
        <sz val="13.5"/>
        <color rgb="FF1F2329"/>
        <rFont val="Calibri"/>
        <charset val="134"/>
      </rPr>
      <t xml:space="preserve">【存量】
</t>
    </r>
    <r>
      <rPr>
        <b/>
        <sz val="13.5"/>
        <color rgb="FFF54A45"/>
        <rFont val="Calibri"/>
        <charset val="134"/>
      </rPr>
      <t xml:space="preserve">2023年1月—2026年4月26日
</t>
    </r>
    <r>
      <rPr>
        <sz val="13.5"/>
        <color rgb="FF1F2329"/>
        <rFont val="Calibri"/>
        <charset val="134"/>
      </rPr>
      <t xml:space="preserve">手机摄影BCD(214724)
</t>
    </r>
    <r>
      <rPr>
        <b/>
        <sz val="13.5"/>
        <color rgb="FFF54A45"/>
        <rFont val="Calibri"/>
        <charset val="134"/>
      </rPr>
      <t xml:space="preserve">2023年1月—2025年10月12日
</t>
    </r>
    <r>
      <rPr>
        <sz val="13.5"/>
        <color rgb="FF1F2329"/>
        <rFont val="Calibri"/>
        <charset val="134"/>
      </rPr>
      <t>唱歌（259962）</t>
    </r>
  </si>
  <si>
    <r>
      <rPr>
        <b/>
        <sz val="14"/>
        <color rgb="FFFFFFFF"/>
        <rFont val="等线"/>
        <charset val="134"/>
        <scheme val="minor"/>
      </rPr>
      <t xml:space="preserve">编织笑笑-0元
</t>
    </r>
    <r>
      <rPr>
        <sz val="10"/>
        <rFont val="宋体"/>
        <charset val="134"/>
      </rPr>
      <t xml:space="preserve">19:00
</t>
    </r>
    <r>
      <rPr>
        <sz val="10"/>
        <rFont val="宋体"/>
        <charset val="134"/>
      </rPr>
      <t xml:space="preserve">直播间id：3660465864
</t>
    </r>
    <r>
      <rPr>
        <sz val="10"/>
        <rFont val="宋体"/>
        <charset val="134"/>
      </rPr>
      <t>直播间链接：</t>
    </r>
    <r>
      <rPr>
        <b/>
        <u/>
        <sz val="13.5"/>
        <color theme="10"/>
        <rFont val="Calibri"/>
        <charset val="134"/>
      </rPr>
      <t>https://s.xingqudao.net/SOYeelF2</t>
    </r>
  </si>
  <si>
    <r>
      <rPr>
        <b/>
        <sz val="13.5"/>
        <color rgb="FFF54A45"/>
        <rFont val="Calibri"/>
        <charset val="134"/>
      </rPr>
      <t xml:space="preserve">2025年1月1日—2026年4月26日
</t>
    </r>
    <r>
      <rPr>
        <sz val="13.5"/>
        <color rgb="FF000000"/>
        <rFont val="Calibri"/>
        <charset val="134"/>
      </rPr>
      <t>美学（49105）</t>
    </r>
  </si>
  <si>
    <t>5.9编织</t>
  </si>
  <si>
    <t>（购物车链接）128900908620</t>
  </si>
  <si>
    <t>【私域】-编织（戴敏)-千聊内部-0元-健康变美直播-购物车</t>
  </si>
  <si>
    <r>
      <rPr>
        <u/>
        <sz val="12"/>
        <color theme="10"/>
        <rFont val="Calibri"/>
        <charset val="134"/>
      </rPr>
      <t>https://t1.nicegoods.cn/financial/experience-plan-sku?launchId=128900908620</t>
    </r>
  </si>
  <si>
    <t>（社群专属）128913104461</t>
  </si>
  <si>
    <t>【私域】-编织（戴敏)-千聊内部-0元-健康变美直播-社群专属</t>
  </si>
  <si>
    <r>
      <rPr>
        <u/>
        <sz val="12"/>
        <color theme="10"/>
        <rFont val="Calibri"/>
        <charset val="134"/>
      </rPr>
      <t>https://t1.nicegoods.cn/financial/experience-plan-sku?launchId=128913104461</t>
    </r>
  </si>
  <si>
    <t>免费-编织-千聊内部-矩阵私域-刘芳-1V1-变美组-健康变美直播-20260507</t>
  </si>
  <si>
    <t>210500_14231210_financing</t>
  </si>
  <si>
    <r>
      <rPr>
        <u/>
        <sz val="12"/>
        <color theme="10"/>
        <rFont val="宋体"/>
        <charset val="134"/>
      </rPr>
      <t>https://t1.nicegoods.cn/financial/experience-plan-sku?launchId=128913104461&amp;wcl=210500_14231210_financing</t>
    </r>
  </si>
  <si>
    <r>
      <rPr>
        <u/>
        <sz val="12"/>
        <color theme="10"/>
        <rFont val="宋体"/>
        <charset val="134"/>
      </rPr>
      <t>https://s.xingqudao.net/SOYeemNS</t>
    </r>
  </si>
  <si>
    <t>免费-编织-千聊内部-矩阵私域-刘芳-朋友圈-变美组-健康变美直播-20260507</t>
  </si>
  <si>
    <t>210500_14231211_financing</t>
  </si>
  <si>
    <r>
      <rPr>
        <u/>
        <sz val="12"/>
        <color theme="10"/>
        <rFont val="宋体"/>
        <charset val="134"/>
      </rPr>
      <t>https://t1.nicegoods.cn/financial/experience-plan-sku?launchId=128913104461&amp;wcl=210500_14231211_financing</t>
    </r>
  </si>
  <si>
    <r>
      <rPr>
        <u/>
        <sz val="12"/>
        <color theme="10"/>
        <rFont val="宋体"/>
        <charset val="134"/>
      </rPr>
      <t>https://s.xingqudao.net/SOYeemNT</t>
    </r>
  </si>
  <si>
    <t>免费-编织-千聊内部-矩阵私域-刘芳-社群-变美组-健康变美直播-20260507</t>
  </si>
  <si>
    <t>210500_14231212_financing</t>
  </si>
  <si>
    <r>
      <rPr>
        <u/>
        <sz val="12"/>
        <color theme="10"/>
        <rFont val="宋体"/>
        <charset val="134"/>
      </rPr>
      <t>https://t1.nicegoods.cn/financial/experience-plan-sku?launchId=128913104461&amp;wcl=210500_14231212_financing</t>
    </r>
  </si>
  <si>
    <r>
      <rPr>
        <u/>
        <sz val="12"/>
        <color theme="10"/>
        <rFont val="宋体"/>
        <charset val="134"/>
      </rPr>
      <t>https://s.xingqudao.net/SOYeemNU</t>
    </r>
  </si>
  <si>
    <t>免费-编织-千聊内部-矩阵私域-刘芳-1V1-变美组-健康变美直播-购物车链接-20260507</t>
  </si>
  <si>
    <t>210500_14231208_financing</t>
  </si>
  <si>
    <r>
      <rPr>
        <u/>
        <sz val="12"/>
        <color theme="10"/>
        <rFont val="宋体"/>
        <charset val="134"/>
      </rPr>
      <t>https://t1.nicegoods.cn/financial/experience-plan-sku?launchId=128900908620&amp;wcl=210500_14231208_financing</t>
    </r>
  </si>
  <si>
    <r>
      <rPr>
        <u/>
        <sz val="12"/>
        <color theme="10"/>
        <rFont val="宋体"/>
        <charset val="134"/>
      </rPr>
      <t>https://s.xingqudao.net/SOYeemNQ</t>
    </r>
  </si>
  <si>
    <t>免费-编织-千聊内部-矩阵私域-刘芳-1V1-变美组-健康变美直播-弹幕链接-20260507</t>
  </si>
  <si>
    <t>210500_14231209_financing</t>
  </si>
  <si>
    <r>
      <rPr>
        <u/>
        <sz val="12"/>
        <color theme="10"/>
        <rFont val="宋体"/>
        <charset val="134"/>
      </rPr>
      <t>https://t1.nicegoods.cn/financial/experience-plan-sku?launchId=128913104461&amp;wcl=210500_14231209_financing</t>
    </r>
  </si>
  <si>
    <r>
      <rPr>
        <u/>
        <sz val="12"/>
        <color theme="10"/>
        <rFont val="宋体"/>
        <charset val="134"/>
      </rPr>
      <t>https://s.xingqudao.net/SOYeemNR</t>
    </r>
  </si>
  <si>
    <t>5.4-5.10</t>
  </si>
  <si>
    <t>2025年1月12日—2026年4月26日</t>
  </si>
  <si>
    <t>2025年10月13日—2025年1月11日</t>
  </si>
  <si>
    <t>2026年1月1日—2026年4月26日</t>
  </si>
  <si>
    <t>例子生成规范</t>
  </si>
  <si>
    <t>框架：免费-【跨科课程】-千聊内部-矩阵私域-【生成例子人】-1V1-【组别】-【大类】直播-20251125
如变美：免费-君合太极-千聊内部-矩阵私域-刘芳-1V1-变美组-健康变美直播-20251125
健康：免费-君合太极-千聊内部-矩阵私域-莫静雯-朋友圈-健康组-节气养正直播-20251112
兴趣：免费-君合太极-千聊内部-矩阵私域-李慧-朋友圈-兴趣组-兴趣直播-20251112"</t>
  </si>
  <si>
    <r>
      <rPr>
        <b/>
        <sz val="24"/>
        <color rgb="FF1F2329"/>
        <rFont val="Calibri"/>
        <charset val="134"/>
      </rPr>
      <t>4月</t>
    </r>
    <r>
      <rPr>
        <b/>
        <sz val="24"/>
        <color rgb="FFF54A45"/>
        <rFont val="Calibri"/>
        <charset val="134"/>
      </rPr>
      <t>（晨练7:00开播！！）</t>
    </r>
  </si>
  <si>
    <t>五禽戏晨练
7:00-8:30
健康食养晨练
8:30-10:00</t>
  </si>
  <si>
    <r>
      <rPr>
        <b/>
        <sz val="16"/>
        <color rgb="FFFFFFFF"/>
        <rFont val="等线"/>
        <charset val="134"/>
        <scheme val="minor"/>
      </rPr>
      <t xml:space="preserve">一杰晨练
</t>
    </r>
    <r>
      <rPr>
        <sz val="10"/>
        <rFont val="宋体"/>
        <charset val="134"/>
      </rPr>
      <t xml:space="preserve">已有单课id
</t>
    </r>
    <r>
      <rPr>
        <sz val="10"/>
        <rFont val="宋体"/>
        <charset val="134"/>
      </rPr>
      <t xml:space="preserve">复用3.24
</t>
    </r>
    <r>
      <rPr>
        <sz val="10"/>
        <rFont val="宋体"/>
        <charset val="134"/>
      </rPr>
      <t xml:space="preserve">开播时间：7:00
</t>
    </r>
    <r>
      <rPr>
        <sz val="10"/>
        <rFont val="宋体"/>
        <charset val="134"/>
      </rPr>
      <t>预约链接：</t>
    </r>
    <r>
      <rPr>
        <b/>
        <u/>
        <sz val="15.75"/>
        <color theme="10"/>
        <rFont val="Calibri"/>
        <charset val="134"/>
      </rPr>
      <t>https://s.xingqudao.net/SOYeaHds</t>
    </r>
  </si>
  <si>
    <t>2025年10月6日—2026年4月19日
太极SABCD(532403）</t>
  </si>
  <si>
    <t>2023年1月—2026年4月19日
固气（63573）
2023年1月—2025年10月5日
健康营养（118835）
2025年4月7日—2025年10月5日
太极BCD(168267)</t>
  </si>
  <si>
    <t>2023年1月—2026年4月19日
东方养正瑜伽（113349）
2023年1月—2025年10月5日
瑜伽BCD(266879)
2025年4月7日—2026年4月19日
中医变美（128473）</t>
  </si>
  <si>
    <t>2025年12月29日—2026年4月19日
面部驻颜瑜伽（18353）
2023年1月—2026年4月12日
普拉提SA(199056)
2025年10月6日—2026年4月19日
普拉提BCD(85344)</t>
  </si>
  <si>
    <t>摄影美学-张鹤岩单人</t>
  </si>
  <si>
    <t>电子琴IP小瑜</t>
  </si>
  <si>
    <t>恩平</t>
  </si>
  <si>
    <t>2023年1月—2026年4月19日
手机摄影BCD（214566）
2025年10月6日—2026年4月19日
短视频（216188）
2025年1月5日—2026年4月19日
唱歌（130710）</t>
  </si>
  <si>
    <t>2025年12月29日—2026年4月19日
国际声乐、摄影美学（36858）
2023年1月—2026年4月19日
美学（49193）
2023年1月—2025年4月6日
中医变美（105612）
2023年1月—2025年10月5日
普拉提BCD(144099)</t>
  </si>
  <si>
    <t>晚上平播</t>
  </si>
  <si>
    <t>元气直播（居家古法）
录播</t>
  </si>
  <si>
    <t>睡眠助教
录播</t>
  </si>
  <si>
    <r>
      <rPr>
        <b/>
        <sz val="14"/>
        <color rgb="FFFFFFFF"/>
        <rFont val="等线"/>
        <charset val="134"/>
        <scheme val="minor"/>
      </rPr>
      <t xml:space="preserve">风光摄影-IP耿春晖
</t>
    </r>
    <r>
      <rPr>
        <sz val="10"/>
        <rFont val="宋体"/>
        <charset val="134"/>
      </rPr>
      <t xml:space="preserve">单人户外
</t>
    </r>
    <r>
      <rPr>
        <sz val="10"/>
        <rFont val="宋体"/>
        <charset val="134"/>
      </rPr>
      <t xml:space="preserve">复用4.17日
</t>
    </r>
    <r>
      <rPr>
        <sz val="10"/>
        <rFont val="宋体"/>
        <charset val="134"/>
      </rPr>
      <t xml:space="preserve">开播时间：18:00
</t>
    </r>
    <r>
      <rPr>
        <sz val="10"/>
        <rFont val="宋体"/>
        <charset val="134"/>
      </rPr>
      <t xml:space="preserve">直播间ID：
</t>
    </r>
    <r>
      <rPr>
        <sz val="10"/>
        <rFont val="宋体"/>
        <charset val="134"/>
      </rPr>
      <t xml:space="preserve">单课ID：126788036392
</t>
    </r>
    <r>
      <rPr>
        <sz val="10"/>
        <rFont val="宋体"/>
        <charset val="134"/>
      </rPr>
      <t>预约链接：</t>
    </r>
    <r>
      <rPr>
        <b/>
        <u/>
        <sz val="13.5"/>
        <color theme="10"/>
        <rFont val="Calibri"/>
        <charset val="134"/>
      </rPr>
      <t>https://s.xingqudao.net/SOYeaj13</t>
    </r>
  </si>
  <si>
    <r>
      <rPr>
        <b/>
        <sz val="16"/>
        <color rgb="FFFFFFFF"/>
        <rFont val="等线"/>
        <charset val="134"/>
        <scheme val="minor"/>
      </rPr>
      <t xml:space="preserve">2025.5.8气血
</t>
    </r>
    <r>
      <rPr>
        <sz val="10"/>
        <rFont val="宋体"/>
        <charset val="134"/>
      </rPr>
      <t xml:space="preserve">开播时间：19:00
</t>
    </r>
    <r>
      <rPr>
        <sz val="10"/>
        <rFont val="宋体"/>
        <charset val="134"/>
      </rPr>
      <t xml:space="preserve">复用直播间ID：3660231509
</t>
    </r>
    <r>
      <rPr>
        <sz val="10"/>
        <rFont val="宋体"/>
        <charset val="134"/>
      </rPr>
      <t xml:space="preserve">单课ID：126796910452
</t>
    </r>
    <r>
      <rPr>
        <sz val="10"/>
        <rFont val="宋体"/>
        <charset val="134"/>
      </rPr>
      <t>预约链接：</t>
    </r>
    <r>
      <rPr>
        <b/>
        <u/>
        <sz val="15.75"/>
        <color theme="10"/>
        <rFont val="Calibri"/>
        <charset val="134"/>
      </rPr>
      <t>https://s.xingqudao.net/SOYeaj4U</t>
    </r>
  </si>
  <si>
    <r>
      <rPr>
        <b/>
        <sz val="16"/>
        <color rgb="FFFFFFFF"/>
        <rFont val="等线"/>
        <charset val="134"/>
        <scheme val="minor"/>
      </rPr>
      <t xml:space="preserve">【伪直播复用】
</t>
    </r>
    <r>
      <rPr>
        <sz val="10"/>
        <rFont val="宋体"/>
        <charset val="134"/>
      </rPr>
      <t xml:space="preserve">收纳，不需要剪辑
</t>
    </r>
    <r>
      <rPr>
        <sz val="10"/>
        <rFont val="宋体"/>
        <charset val="134"/>
      </rPr>
      <t xml:space="preserve">开播时间：晚上19:00
</t>
    </r>
    <r>
      <rPr>
        <sz val="10"/>
        <rFont val="宋体"/>
        <charset val="134"/>
      </rPr>
      <t xml:space="preserve">强调“独家课堂”
</t>
    </r>
    <r>
      <rPr>
        <sz val="10"/>
        <rFont val="宋体"/>
        <charset val="134"/>
      </rPr>
      <t xml:space="preserve">直播间ID：3660460130
</t>
    </r>
    <r>
      <rPr>
        <sz val="10"/>
        <rFont val="宋体"/>
        <charset val="134"/>
      </rPr>
      <t>预约链接：</t>
    </r>
    <r>
      <rPr>
        <b/>
        <u/>
        <sz val="15.75"/>
        <color theme="10"/>
        <rFont val="Calibri"/>
        <charset val="134"/>
      </rPr>
      <t>https://s.xingqudao.net/SOYeaHeq</t>
    </r>
  </si>
  <si>
    <t>2025年4月7日—2026年4月19日
五禽戏（50739）
2023年1月—2026年4月19日
睡眠（102746）
亚健康（19211）
2023年1月—2025年10月5日
太极SA(277913)</t>
  </si>
  <si>
    <t>2025年10月6日—2026年4月19日
健康营养（79727）
2023年1月—2026年4月19日
气血（257584）
2023年1月—2025年4月6日
五禽戏（75959）</t>
  </si>
  <si>
    <t>2023年1月—2025年10月5日
太极BCD（436420）</t>
  </si>
  <si>
    <t>2023年1月—2026年4月19日
瑜伽SA(321936)
2025年10月6日—2026年4月19日
瑜伽BCD(81681)</t>
  </si>
  <si>
    <t>【存量】
2023年1月—2026年4月12日
手机摄影SA（137210）
2023年1月—2025年10月5日
唱歌（245321）
2023年1月—2025年10月5日
短视频（104516）</t>
  </si>
  <si>
    <t>负责定时</t>
  </si>
  <si>
    <t>视频号</t>
  </si>
  <si>
    <t>摄影美学-张鹤岩双人
（公域）
开播时间：</t>
  </si>
  <si>
    <t>手机摄影
（博文单人-公域）
开播时间：</t>
  </si>
  <si>
    <r>
      <rPr>
        <b/>
        <sz val="16"/>
        <color rgb="FFFFFFFF"/>
        <rFont val="等线"/>
        <charset val="134"/>
        <scheme val="minor"/>
      </rPr>
      <t xml:space="preserve">睡眠
</t>
    </r>
    <r>
      <rPr>
        <sz val="10"/>
        <rFont val="宋体"/>
        <charset val="134"/>
      </rPr>
      <t xml:space="preserve">复用3.27
</t>
    </r>
    <r>
      <rPr>
        <sz val="10"/>
        <rFont val="宋体"/>
        <charset val="134"/>
      </rPr>
      <t xml:space="preserve">需剪辑
</t>
    </r>
    <r>
      <rPr>
        <sz val="10"/>
        <rFont val="宋体"/>
        <charset val="134"/>
      </rPr>
      <t xml:space="preserve">开播时间：7:30
</t>
    </r>
    <r>
      <rPr>
        <sz val="10"/>
        <rFont val="宋体"/>
        <charset val="134"/>
      </rPr>
      <t>预约链接：</t>
    </r>
    <r>
      <rPr>
        <b/>
        <u/>
        <sz val="15.75"/>
        <color theme="10"/>
        <rFont val="Calibri"/>
        <charset val="134"/>
      </rPr>
      <t>https://s.xingqudao.net/SOYeapwS</t>
    </r>
  </si>
  <si>
    <r>
      <rPr>
        <b/>
        <sz val="16"/>
        <color rgb="FFFFFFFF"/>
        <rFont val="等线"/>
        <charset val="134"/>
        <scheme val="minor"/>
      </rPr>
      <t xml:space="preserve">逆龄女神瑜伽
</t>
    </r>
    <r>
      <rPr>
        <sz val="10"/>
        <rFont val="宋体"/>
        <charset val="134"/>
      </rPr>
      <t xml:space="preserve">已有单课id，复用3.21
</t>
    </r>
    <r>
      <rPr>
        <sz val="10"/>
        <rFont val="宋体"/>
        <charset val="134"/>
      </rPr>
      <t xml:space="preserve">开播时间：7:30
</t>
    </r>
    <r>
      <rPr>
        <sz val="10"/>
        <rFont val="宋体"/>
        <charset val="134"/>
      </rPr>
      <t>预约链接：</t>
    </r>
    <r>
      <rPr>
        <b/>
        <u/>
        <sz val="15.75"/>
        <color theme="10"/>
        <rFont val="Calibri"/>
        <charset val="134"/>
      </rPr>
      <t>https://s.xingqudao.net/SOYeaHs6</t>
    </r>
  </si>
  <si>
    <t>君和太极</t>
  </si>
  <si>
    <t>普拉提</t>
  </si>
  <si>
    <t>睡眠调理</t>
  </si>
  <si>
    <t>超V直播-短视频
（仅私域超V资源）</t>
  </si>
  <si>
    <t>事业部
朋友圈宣发资源位</t>
  </si>
  <si>
    <t>定时人</t>
  </si>
  <si>
    <t>伪直播</t>
  </si>
  <si>
    <r>
      <rPr>
        <b/>
        <sz val="16"/>
        <color rgb="FFFFFFFF"/>
        <rFont val="等线"/>
        <charset val="134"/>
        <scheme val="minor"/>
      </rPr>
      <t xml:space="preserve">摄影美学-段晓晖单人
</t>
    </r>
    <r>
      <rPr>
        <sz val="10"/>
        <rFont val="宋体"/>
        <charset val="134"/>
      </rPr>
      <t xml:space="preserve">复用4.14日段
</t>
    </r>
    <r>
      <rPr>
        <sz val="10"/>
        <rFont val="宋体"/>
        <charset val="134"/>
      </rPr>
      <t xml:space="preserve">直播间ID：3660448053
</t>
    </r>
    <r>
      <rPr>
        <sz val="10"/>
        <rFont val="宋体"/>
        <charset val="134"/>
      </rPr>
      <t xml:space="preserve">开播时间：19:00
</t>
    </r>
    <r>
      <rPr>
        <sz val="10"/>
        <rFont val="宋体"/>
        <charset val="134"/>
      </rPr>
      <t>预约链接：</t>
    </r>
    <r>
      <rPr>
        <b/>
        <u/>
        <sz val="15.75"/>
        <color theme="10"/>
        <rFont val="Calibri"/>
        <charset val="134"/>
      </rPr>
      <t>https://s.xingqudao.net/SOYeaj8Z</t>
    </r>
  </si>
  <si>
    <r>
      <rPr>
        <b/>
        <sz val="16"/>
        <color rgb="FFFFFFFF"/>
        <rFont val="等线"/>
        <charset val="134"/>
        <scheme val="minor"/>
      </rPr>
      <t xml:space="preserve">2025.5.16健康营养
</t>
    </r>
    <r>
      <rPr>
        <sz val="10"/>
        <rFont val="宋体"/>
        <charset val="134"/>
      </rPr>
      <t xml:space="preserve">开播时间：19:00
</t>
    </r>
    <r>
      <rPr>
        <sz val="10"/>
        <rFont val="宋体"/>
        <charset val="134"/>
      </rPr>
      <t xml:space="preserve">直播间ID：3660238220
</t>
    </r>
    <r>
      <rPr>
        <sz val="10"/>
        <rFont val="宋体"/>
        <charset val="134"/>
      </rPr>
      <t>预约链接：</t>
    </r>
    <r>
      <rPr>
        <b/>
        <u/>
        <sz val="15.75"/>
        <color theme="10"/>
        <rFont val="Calibri"/>
        <charset val="134"/>
      </rPr>
      <t>https://s.xingqudao.net/SOYeaj65</t>
    </r>
  </si>
  <si>
    <r>
      <rPr>
        <b/>
        <sz val="16"/>
        <color rgb="FFFFFFFF"/>
        <rFont val="等线"/>
        <charset val="134"/>
        <scheme val="minor"/>
      </rPr>
      <t xml:space="preserve">君合太极-刘君合
</t>
    </r>
    <r>
      <rPr>
        <sz val="10"/>
        <rFont val="宋体"/>
        <charset val="134"/>
      </rPr>
      <t xml:space="preserve">复用4.26
</t>
    </r>
    <r>
      <rPr>
        <sz val="10"/>
        <rFont val="宋体"/>
        <charset val="134"/>
      </rPr>
      <t xml:space="preserve">开播时间：19:00
</t>
    </r>
    <r>
      <rPr>
        <sz val="10"/>
        <rFont val="宋体"/>
        <charset val="134"/>
      </rPr>
      <t>预约链接：</t>
    </r>
    <r>
      <rPr>
        <b/>
        <u/>
        <sz val="15.75"/>
        <color theme="10"/>
        <rFont val="Calibri"/>
        <charset val="134"/>
      </rPr>
      <t>https://s.xingqudao.net/SOYeaq2o</t>
    </r>
  </si>
  <si>
    <r>
      <rPr>
        <b/>
        <sz val="16"/>
        <color rgb="FFFFFFFF"/>
        <rFont val="等线"/>
        <charset val="134"/>
        <scheme val="minor"/>
      </rPr>
      <t xml:space="preserve">短视频复用（跟4.11一样）
</t>
    </r>
    <r>
      <rPr>
        <sz val="10"/>
        <rFont val="宋体"/>
        <charset val="134"/>
      </rPr>
      <t xml:space="preserve">不需要剪辑
</t>
    </r>
    <r>
      <rPr>
        <sz val="10"/>
        <rFont val="宋体"/>
        <charset val="134"/>
      </rPr>
      <t xml:space="preserve">开播时间：19:00
</t>
    </r>
    <r>
      <rPr>
        <sz val="10"/>
        <rFont val="宋体"/>
        <charset val="134"/>
      </rPr>
      <t xml:space="preserve">直播间ID：3660460142
</t>
    </r>
    <r>
      <rPr>
        <sz val="10"/>
        <rFont val="宋体"/>
        <charset val="134"/>
      </rPr>
      <t>预约链接：</t>
    </r>
    <r>
      <rPr>
        <b/>
        <u/>
        <sz val="15.75"/>
        <color theme="10"/>
        <rFont val="Calibri"/>
        <charset val="134"/>
      </rPr>
      <t>https://s.xingqudao.net/SOYeaHtt</t>
    </r>
  </si>
  <si>
    <t>5.4睡眠</t>
  </si>
  <si>
    <t>（购物车链接）126681983180</t>
  </si>
  <si>
    <t>【私域】-道家睡眠-千聊内部-0元-节气养正直播-购物车</t>
  </si>
  <si>
    <t>https://t1.nicegoods.cn/financial/experience-plan-sku?launchId=126681983180</t>
  </si>
  <si>
    <t>（社群专属）126724662127</t>
  </si>
  <si>
    <t>【私域】-道家睡眠-千聊内部-0元-节气养正直播-社群专属</t>
  </si>
  <si>
    <t>https://t1.nicegoods.cn/financial/experience-plan-sku?launchId=126724662127</t>
  </si>
  <si>
    <t>免费-道家睡眠-千聊内部-矩阵私域-莫静雯-1v1-健康组-节气养正直播-4-20260427</t>
  </si>
  <si>
    <t>210500_14224238_financing</t>
  </si>
  <si>
    <r>
      <rPr>
        <u/>
        <sz val="12"/>
        <color theme="10"/>
        <rFont val="Calibri"/>
        <charset val="134"/>
      </rPr>
      <t>https://t1.nicegoods.cn/financial/experience-plan-sku?launchId=126724662127&amp;wcl=210500_14224238_financing</t>
    </r>
  </si>
  <si>
    <r>
      <rPr>
        <u/>
        <sz val="12"/>
        <color theme="10"/>
        <rFont val="Calibri"/>
        <charset val="134"/>
      </rPr>
      <t>https://s.xingqudao.net/SOYeaD9Z</t>
    </r>
  </si>
  <si>
    <t>免费-道家睡眠-千聊内部-矩阵私域-莫静雯-社群-健康组-节气养正直播-4-20260427</t>
  </si>
  <si>
    <t>210500_14224239_financing</t>
  </si>
  <si>
    <r>
      <rPr>
        <u/>
        <sz val="12"/>
        <color theme="10"/>
        <rFont val="Calibri"/>
        <charset val="134"/>
      </rPr>
      <t>https://t1.nicegoods.cn/financial/experience-plan-sku?launchId=126724662127&amp;wcl=210500_14224239_financing</t>
    </r>
  </si>
  <si>
    <r>
      <rPr>
        <u/>
        <sz val="12"/>
        <color theme="10"/>
        <rFont val="Calibri"/>
        <charset val="134"/>
      </rPr>
      <t>https://s.xingqudao.net/SOYeaD9a</t>
    </r>
  </si>
  <si>
    <t>免费-道家睡眠-千聊内部-矩阵私域-莫静雯-朋友圈-健康组-节气养正直播-4-20260427</t>
  </si>
  <si>
    <t>210500_14224240_financing</t>
  </si>
  <si>
    <r>
      <rPr>
        <u/>
        <sz val="12"/>
        <color theme="10"/>
        <rFont val="Calibri"/>
        <charset val="134"/>
      </rPr>
      <t>https://t1.nicegoods.cn/financial/experience-plan-sku?launchId=126724662127&amp;wcl=210500_14224240_financing</t>
    </r>
  </si>
  <si>
    <r>
      <rPr>
        <u/>
        <sz val="12"/>
        <color theme="10"/>
        <rFont val="Calibri"/>
        <charset val="134"/>
      </rPr>
      <t>https://s.xingqudao.net/SOYeaD9b</t>
    </r>
  </si>
  <si>
    <t>免费-道家睡眠-千聊内部-矩阵私域-莫静雯-1v1-健康组-节气养正直播-4-购物车链接-20260427</t>
  </si>
  <si>
    <t>210500_14224241_financing</t>
  </si>
  <si>
    <r>
      <rPr>
        <u/>
        <sz val="12"/>
        <color theme="10"/>
        <rFont val="Calibri"/>
        <charset val="134"/>
      </rPr>
      <t>https://t1.nicegoods.cn/financial/experience-plan-sku?launchId=126681983180&amp;wcl=210500_14224241_financing</t>
    </r>
  </si>
  <si>
    <r>
      <rPr>
        <u/>
        <sz val="12"/>
        <color theme="10"/>
        <rFont val="Calibri"/>
        <charset val="134"/>
      </rPr>
      <t>https://s.xingqudao.net/SOYeaD9c</t>
    </r>
  </si>
  <si>
    <t>5.2气血</t>
  </si>
  <si>
    <t>（购物车链接）126681282838</t>
  </si>
  <si>
    <t>【私域】-气血【扶阳】-千聊内部-0元-节气养正直播-购物车专属</t>
  </si>
  <si>
    <t>https://t1.nicegoods.cn/financial/experience-plan-sku?launchId=126681282838</t>
  </si>
  <si>
    <t>（社群专属）126681985933</t>
  </si>
  <si>
    <t>【私域】-气血【扶阳】-千聊内部-0元-节气养正直播-社群专属</t>
  </si>
  <si>
    <t>https://t1.nicegoods.cn/financial/experience-plan-sku?launchId=126681985933</t>
  </si>
  <si>
    <t>免费-气血调理-千聊内部-矩阵私域-莫静雯-社群-健康组-节气养正直播-20260427</t>
  </si>
  <si>
    <t>210500_14224243_financing</t>
  </si>
  <si>
    <r>
      <rPr>
        <u/>
        <sz val="12"/>
        <color theme="10"/>
        <rFont val="Calibri"/>
        <charset val="134"/>
      </rPr>
      <t>https://t1.nicegoods.cn/financial/experience-plan-sku?launchId=126681985933&amp;wcl=210500_14224243_financing</t>
    </r>
  </si>
  <si>
    <r>
      <rPr>
        <u/>
        <sz val="12"/>
        <color theme="10"/>
        <rFont val="Calibri"/>
        <charset val="134"/>
      </rPr>
      <t>https://s.xingqudao.net/SOYeaD9e</t>
    </r>
  </si>
  <si>
    <t>免费-气血调理-千聊内部-矩阵私域-莫静雯-朋友圈-健康组-节气养正直播-20260427</t>
  </si>
  <si>
    <t>210500_14224244_financing</t>
  </si>
  <si>
    <r>
      <rPr>
        <u/>
        <sz val="12"/>
        <color theme="10"/>
        <rFont val="Calibri"/>
        <charset val="134"/>
      </rPr>
      <t>https://t1.nicegoods.cn/financial/experience-plan-sku?launchId=126681985933&amp;wcl=210500_14224244_financing</t>
    </r>
  </si>
  <si>
    <r>
      <rPr>
        <u/>
        <sz val="12"/>
        <color theme="10"/>
        <rFont val="Calibri"/>
        <charset val="134"/>
      </rPr>
      <t>https://s.xingqudao.net/SOYeaD9f</t>
    </r>
  </si>
  <si>
    <t>免费-气血调理-千聊内部-矩阵私域-莫静雯-1v1-健康组-节气养正直播-购物车链接-20260427</t>
  </si>
  <si>
    <t>210500_14224245_financing</t>
  </si>
  <si>
    <r>
      <rPr>
        <u/>
        <sz val="12"/>
        <color theme="10"/>
        <rFont val="Calibri"/>
        <charset val="134"/>
      </rPr>
      <t>https://t1.nicegoods.cn/financial/experience-plan-sku?launchId=126681282838&amp;wcl=210500_14224245_financing</t>
    </r>
  </si>
  <si>
    <r>
      <rPr>
        <u/>
        <sz val="12"/>
        <color theme="10"/>
        <rFont val="Calibri"/>
        <charset val="134"/>
      </rPr>
      <t>https://s.xingqudao.net/SOYeaD9h</t>
    </r>
  </si>
  <si>
    <t>免费-气血调理-千聊内部-矩阵私域-莫静雯-1v1-健康组-节气养正直播-20260427</t>
  </si>
  <si>
    <t>210500_14224242_financing</t>
  </si>
  <si>
    <r>
      <rPr>
        <u/>
        <sz val="12"/>
        <color theme="10"/>
        <rFont val="Calibri"/>
        <charset val="134"/>
      </rPr>
      <t>https://t1.nicegoods.cn/financial/experience-plan-sku?launchId=126681985933&amp;wcl=210500_14224242_financing</t>
    </r>
  </si>
  <si>
    <r>
      <rPr>
        <u/>
        <sz val="12"/>
        <color theme="10"/>
        <rFont val="Calibri"/>
        <charset val="134"/>
      </rPr>
      <t>https://s.xingqudao.net/SOYeaD9d</t>
    </r>
  </si>
  <si>
    <t>5.4健康营养</t>
  </si>
  <si>
    <t>（购物车链接）126681282912</t>
  </si>
  <si>
    <t>【私域】-新吃瘦【王溪】-千聊内部-0元-节气养正直播-购物车专属</t>
  </si>
  <si>
    <t>https://t1.nicegoods.cn/financial/experience-plan-sku?launchId=126681282912</t>
  </si>
  <si>
    <t>（社群专属）126681159030</t>
  </si>
  <si>
    <t>【私域】-新吃瘦【王溪】-千聊内部-0元-节气养正直播-社群专属</t>
  </si>
  <si>
    <t>https://t1.nicegoods.cn/financial/experience-plan-sku?launchId=126681159030</t>
  </si>
  <si>
    <t>免费-健康营养-千聊内部-矩阵私域-莫静雯-1v1-健康组-节气养正直播-20260427</t>
  </si>
  <si>
    <t>210500_14224246_financing</t>
  </si>
  <si>
    <r>
      <rPr>
        <u/>
        <sz val="12"/>
        <color theme="10"/>
        <rFont val="Calibri"/>
        <charset val="134"/>
      </rPr>
      <t>https://t1.nicegoods.cn/financial/experience-plan-sku?launchId=126681159030&amp;wcl=210500_14224246_financing</t>
    </r>
  </si>
  <si>
    <r>
      <rPr>
        <u/>
        <sz val="12"/>
        <color theme="10"/>
        <rFont val="Calibri"/>
        <charset val="134"/>
      </rPr>
      <t>https://s.xingqudao.net/SOYeaD9i</t>
    </r>
  </si>
  <si>
    <t>免费-健康营养-千聊内部-矩阵私域-莫静雯-社群-健康组-节气养正直播-20260427</t>
  </si>
  <si>
    <t>210500_14224247_financing</t>
  </si>
  <si>
    <r>
      <rPr>
        <u/>
        <sz val="12"/>
        <color theme="10"/>
        <rFont val="Calibri"/>
        <charset val="134"/>
      </rPr>
      <t>https://t1.nicegoods.cn/financial/experience-plan-sku?launchId=126681159030&amp;wcl=210500_14224247_financing</t>
    </r>
  </si>
  <si>
    <r>
      <rPr>
        <u/>
        <sz val="12"/>
        <color theme="10"/>
        <rFont val="Calibri"/>
        <charset val="134"/>
      </rPr>
      <t>https://s.xingqudao.net/SOYeaD9j</t>
    </r>
  </si>
  <si>
    <t>免费-健康营养-千聊内部-矩阵私域-莫静雯-朋友圈-健康组-节气养正直播-20260427</t>
  </si>
  <si>
    <t>210500_14224248_financing</t>
  </si>
  <si>
    <r>
      <rPr>
        <u/>
        <sz val="12"/>
        <color theme="10"/>
        <rFont val="Calibri"/>
        <charset val="134"/>
      </rPr>
      <t>https://t1.nicegoods.cn/financial/experience-plan-sku?launchId=126681159030&amp;wcl=210500_14224248_financing</t>
    </r>
  </si>
  <si>
    <r>
      <rPr>
        <u/>
        <sz val="12"/>
        <color theme="10"/>
        <rFont val="Calibri"/>
        <charset val="134"/>
      </rPr>
      <t>https://s.xingqudao.net/SOYeaD9k</t>
    </r>
  </si>
  <si>
    <t>免费-健康营养-千聊内部-矩阵私域-莫静雯-1v1-健康组-节气养正直播-购物车链接-20260427</t>
  </si>
  <si>
    <t>210500_14224249_financing</t>
  </si>
  <si>
    <r>
      <rPr>
        <u/>
        <sz val="12"/>
        <color theme="10"/>
        <rFont val="Calibri"/>
        <charset val="134"/>
      </rPr>
      <t>https://t1.nicegoods.cn/financial/experience-plan-sku?launchId=126681282912&amp;wcl=210500_14224249_financing</t>
    </r>
  </si>
  <si>
    <r>
      <rPr>
        <u/>
        <sz val="12"/>
        <color theme="10"/>
        <rFont val="Calibri"/>
        <charset val="134"/>
      </rPr>
      <t>https://s.xingqudao.net/SOYeaD9l</t>
    </r>
  </si>
  <si>
    <t>5.5君合太极</t>
  </si>
  <si>
    <t>（购物车链接）126681155578</t>
  </si>
  <si>
    <t>【私域】-君合太极-千聊内部-0元-节气养正直播-购物车专属</t>
  </si>
  <si>
    <t>https://t1.nicegoods.cn/financial/experience-plan-sku?launchId=126681155578</t>
  </si>
  <si>
    <t>（社群专属）126681155542</t>
  </si>
  <si>
    <t>【私域】-君合太极-千聊内部-0元-节气养正直播-社群专属</t>
  </si>
  <si>
    <t>https://t1.nicegoods.cn/financial/experience-plan-sku?launchId=126681155542</t>
  </si>
  <si>
    <t>免费-君合太极-千聊内部-矩阵私域-莫静雯-1v1-健康组-节气养正直播-6-20260427</t>
  </si>
  <si>
    <t>210500_14224222_financing</t>
  </si>
  <si>
    <r>
      <rPr>
        <u/>
        <sz val="12"/>
        <color theme="10"/>
        <rFont val="Calibri"/>
        <charset val="134"/>
      </rPr>
      <t>https://t1.nicegoods.cn/financial/experience-plan-sku?launchId=126681155542&amp;wcl=210500_14224222_financing</t>
    </r>
  </si>
  <si>
    <r>
      <rPr>
        <u/>
        <sz val="12"/>
        <color theme="10"/>
        <rFont val="Calibri"/>
        <charset val="134"/>
      </rPr>
      <t>https://s.xingqudao.net/SOYeaD9I</t>
    </r>
  </si>
  <si>
    <t>免费-君合太极-千聊内部-矩阵私域-莫静雯-社群-健康组-节气养正直播-6-20260427</t>
  </si>
  <si>
    <t>210500_14224223_financing</t>
  </si>
  <si>
    <r>
      <rPr>
        <u/>
        <sz val="12"/>
        <color theme="10"/>
        <rFont val="Calibri"/>
        <charset val="134"/>
      </rPr>
      <t>https://t1.nicegoods.cn/financial/experience-plan-sku?launchId=126681155542&amp;wcl=210500_14224223_financing</t>
    </r>
  </si>
  <si>
    <r>
      <rPr>
        <u/>
        <sz val="12"/>
        <color theme="10"/>
        <rFont val="Calibri"/>
        <charset val="134"/>
      </rPr>
      <t>https://s.xingqudao.net/SOYeaD9J</t>
    </r>
  </si>
  <si>
    <t>免费-君合太极-千聊内部-矩阵私域-莫静雯-朋友圈-健康组-节气养正直播-6-20260427</t>
  </si>
  <si>
    <t>210500_14224224_financing</t>
  </si>
  <si>
    <r>
      <rPr>
        <u/>
        <sz val="12"/>
        <color theme="10"/>
        <rFont val="Calibri"/>
        <charset val="134"/>
      </rPr>
      <t>https://t1.nicegoods.cn/financial/experience-plan-sku?launchId=126681155542&amp;wcl=210500_14224224_financing</t>
    </r>
  </si>
  <si>
    <r>
      <rPr>
        <u/>
        <sz val="12"/>
        <color theme="10"/>
        <rFont val="Calibri"/>
        <charset val="134"/>
      </rPr>
      <t>https://s.xingqudao.net/SOYeaD9K</t>
    </r>
  </si>
  <si>
    <t>免费-君合太极-千聊内部-矩阵私域-莫静雯-1v1-健康组-节气养正直播-6-购物车链接-20260427</t>
  </si>
  <si>
    <t>210500_14224225_financing</t>
  </si>
  <si>
    <r>
      <rPr>
        <u/>
        <sz val="12"/>
        <color theme="10"/>
        <rFont val="Calibri"/>
        <charset val="134"/>
      </rPr>
      <t>https://t1.nicegoods.cn/financial/experience-plan-sku?launchId=126681155578&amp;wcl=210500_14224225_financing</t>
    </r>
  </si>
  <si>
    <r>
      <rPr>
        <u/>
        <sz val="12"/>
        <color theme="10"/>
        <rFont val="Calibri"/>
        <charset val="134"/>
      </rPr>
      <t>https://s.xingqudao.net/SOYeaD9L</t>
    </r>
  </si>
  <si>
    <t>4.29电子琴</t>
  </si>
  <si>
    <t>（购物车链接）126759466187</t>
  </si>
  <si>
    <t>210500_14224990_financing</t>
  </si>
  <si>
    <r>
      <rPr>
        <u/>
        <sz val="12"/>
        <color theme="10"/>
        <rFont val="宋体"/>
        <charset val="134"/>
      </rPr>
      <t>https://t1.nicegoods.cn/financial/experience-plan-sku?launchId=126759466187&amp;wcl=210500_14224990_financing</t>
    </r>
  </si>
  <si>
    <r>
      <rPr>
        <u/>
        <sz val="12"/>
        <color theme="10"/>
        <rFont val="宋体"/>
        <charset val="134"/>
      </rPr>
      <t>https://s.xingqudao.net/SOYeant6</t>
    </r>
  </si>
  <si>
    <t>（社群专属）126759466085</t>
  </si>
  <si>
    <t>210500_14224991_financing</t>
  </si>
  <si>
    <r>
      <rPr>
        <u/>
        <sz val="12"/>
        <color theme="10"/>
        <rFont val="宋体"/>
        <charset val="134"/>
      </rPr>
      <t>https://t1.nicegoods.cn/financial/experience-plan-sku?launchId=126759466187&amp;wcl=210500_14224991_financing</t>
    </r>
  </si>
  <si>
    <r>
      <rPr>
        <u/>
        <sz val="12"/>
        <color theme="10"/>
        <rFont val="宋体"/>
        <charset val="134"/>
      </rPr>
      <t>https://s.xingqudao.net/SOYeant7</t>
    </r>
  </si>
  <si>
    <t>免费-电子琴-千聊内部-矩阵私域-陈恩平-1v1-兴趣组-购物车链接-20260428</t>
  </si>
  <si>
    <t>免费-电子琴-千聊内部-矩阵私域-陈恩平-1v1-兴趣组-直播弹幕-20260428</t>
  </si>
  <si>
    <t>免费-电子琴-千聊内部-矩阵私域-陈恩平-1v1-兴趣组-兴趣直播-20260428</t>
  </si>
  <si>
    <t>210500_14224988_financing</t>
  </si>
  <si>
    <r>
      <rPr>
        <u/>
        <sz val="12"/>
        <color theme="10"/>
        <rFont val="宋体"/>
        <charset val="134"/>
      </rPr>
      <t>https://t1.nicegoods.cn/financial/experience-plan-sku?launchId=126759466187&amp;wcl=210500_14224988_financing</t>
    </r>
  </si>
  <si>
    <r>
      <rPr>
        <u/>
        <sz val="12"/>
        <color theme="10"/>
        <rFont val="宋体"/>
        <charset val="134"/>
      </rPr>
      <t>https://s.xingqudao.net/SOYeant2</t>
    </r>
  </si>
  <si>
    <t>免费-电子琴-千聊内部-矩阵私域-陈恩平-朋友圈-兴趣组-兴趣直播-20260428</t>
  </si>
  <si>
    <t>210500_14224989_financing</t>
  </si>
  <si>
    <r>
      <rPr>
        <u/>
        <sz val="12"/>
        <color theme="10"/>
        <rFont val="宋体"/>
        <charset val="134"/>
      </rPr>
      <t>https://t1.nicegoods.cn/financial/experience-plan-sku?launchId=126759466187&amp;wcl=210500_14224989_financing</t>
    </r>
  </si>
  <si>
    <r>
      <rPr>
        <u/>
        <sz val="12"/>
        <color theme="10"/>
        <rFont val="宋体"/>
        <charset val="134"/>
      </rPr>
      <t>https://s.xingqudao.net/SOYeant4</t>
    </r>
  </si>
  <si>
    <t>免费-电子琴-千聊内部-矩阵私域-陈恩平-社群-兴趣组-兴趣直播-20260428</t>
  </si>
  <si>
    <t>210500_14224987_financing</t>
  </si>
  <si>
    <r>
      <rPr>
        <u/>
        <sz val="12"/>
        <color theme="10"/>
        <rFont val="宋体"/>
        <charset val="134"/>
      </rPr>
      <t>https://t1.nicegoods.cn/financial/experience-plan-sku?launchId=126759466187&amp;wcl=210500_14224987_financing</t>
    </r>
  </si>
  <si>
    <r>
      <rPr>
        <u/>
        <sz val="12"/>
        <color theme="10"/>
        <rFont val="宋体"/>
        <charset val="134"/>
      </rPr>
      <t>https://s.xingqudao.net/SOYeant1</t>
    </r>
  </si>
  <si>
    <t>5.3一杰瑜伽</t>
  </si>
  <si>
    <t>（购物车链接）126901033672</t>
  </si>
  <si>
    <t>【私域】一杰瑜伽-千聊内部-0元-5/3早间健康变美直播-购物车</t>
  </si>
  <si>
    <r>
      <rPr>
        <u/>
        <sz val="12"/>
        <color theme="10"/>
        <rFont val="Calibri"/>
        <charset val="134"/>
      </rPr>
      <t>https://t1.nicegoods.cn/financial/experience-plan-sku?launchId=126901033672</t>
    </r>
  </si>
  <si>
    <t>（社群专属）126901150898</t>
  </si>
  <si>
    <t>【私域】一杰瑜伽-千聊内部-0元-5/3早间健康变美直播-弹幕</t>
  </si>
  <si>
    <r>
      <rPr>
        <u/>
        <sz val="12"/>
        <color theme="10"/>
        <rFont val="Calibri"/>
        <charset val="134"/>
      </rPr>
      <t>https://t1.nicegoods.cn/financial/experience-plan-sku?launchId=126901150898</t>
    </r>
  </si>
  <si>
    <t>免费-一杰瑜伽-千聊内部-矩阵私域-刘芳-1V1-变美组-健康变美直播-20260428</t>
  </si>
  <si>
    <t>210500_14224924_financing</t>
  </si>
  <si>
    <r>
      <rPr>
        <u/>
        <sz val="12"/>
        <color theme="10"/>
        <rFont val="Calibri"/>
        <charset val="134"/>
      </rPr>
      <t>https://t1.nicegoods.cn/financial/experience-plan-sku?launchId=126901150898&amp;wcl=210500_14224924_financing</t>
    </r>
  </si>
  <si>
    <r>
      <rPr>
        <u/>
        <sz val="12"/>
        <color theme="10"/>
        <rFont val="Calibri"/>
        <charset val="134"/>
      </rPr>
      <t>https://s.xingqudao.net/SOYeak6H</t>
    </r>
  </si>
  <si>
    <t>免费-一杰瑜伽-千聊内部-矩阵私域-刘芳-朋友圈-变美组-健康变美直播-20260428</t>
  </si>
  <si>
    <t>210500_14224925_financing</t>
  </si>
  <si>
    <r>
      <rPr>
        <u/>
        <sz val="12"/>
        <color theme="10"/>
        <rFont val="Calibri"/>
        <charset val="134"/>
      </rPr>
      <t>https://t1.nicegoods.cn/financial/experience-plan-sku?launchId=126901150898&amp;wcl=210500_14224925_financing</t>
    </r>
  </si>
  <si>
    <r>
      <rPr>
        <u/>
        <sz val="12"/>
        <color theme="10"/>
        <rFont val="Calibri"/>
        <charset val="134"/>
      </rPr>
      <t>https://s.xingqudao.net/SOYeak6J</t>
    </r>
  </si>
  <si>
    <t>免费-一杰瑜伽-千聊内部-矩阵私域-刘芳-社群-变美组-健康变美直播-20260428</t>
  </si>
  <si>
    <t>210500_14224926_financing</t>
  </si>
  <si>
    <r>
      <rPr>
        <u/>
        <sz val="12"/>
        <color theme="10"/>
        <rFont val="Calibri"/>
        <charset val="134"/>
      </rPr>
      <t>https://t1.nicegoods.cn/financial/experience-plan-sku?launchId=126901150898&amp;wcl=210500_14224926_financing</t>
    </r>
  </si>
  <si>
    <r>
      <rPr>
        <u/>
        <sz val="12"/>
        <color theme="10"/>
        <rFont val="Calibri"/>
        <charset val="134"/>
      </rPr>
      <t>https://s.xingqudao.net/SOYeak6K</t>
    </r>
  </si>
  <si>
    <t>免费-一杰瑜伽-千聊内部-矩阵私域-刘芳-1V1-变美组-健康变美直播-购物车链接-20260428</t>
  </si>
  <si>
    <t>210500_14224922_financing</t>
  </si>
  <si>
    <r>
      <rPr>
        <u/>
        <sz val="12"/>
        <color theme="10"/>
        <rFont val="Calibri"/>
        <charset val="134"/>
      </rPr>
      <t>https://t1.nicegoods.cn/financial/experience-plan-sku?launchId=126901033672&amp;wcl=210500_14224922_financing</t>
    </r>
  </si>
  <si>
    <r>
      <rPr>
        <u/>
        <sz val="12"/>
        <color theme="10"/>
        <rFont val="Calibri"/>
        <charset val="134"/>
      </rPr>
      <t>https://s.xingqudao.net/SOYeak6E</t>
    </r>
  </si>
  <si>
    <t>免费-一杰瑜伽-千聊内部-矩阵私域-刘芳-1V1-变美组-健康变美直播-弹幕链接-20260428</t>
  </si>
  <si>
    <t>210500_14224923_financing</t>
  </si>
  <si>
    <r>
      <rPr>
        <u/>
        <sz val="12"/>
        <color theme="10"/>
        <rFont val="Calibri"/>
        <charset val="134"/>
      </rPr>
      <t>https://t1.nicegoods.cn/financial/experience-plan-sku?launchId=126901150898&amp;wcl=210500_14224923_financing</t>
    </r>
  </si>
  <si>
    <r>
      <rPr>
        <u/>
        <sz val="12"/>
        <color theme="10"/>
        <rFont val="Calibri"/>
        <charset val="134"/>
      </rPr>
      <t>https://s.xingqudao.net/SOYeak6G</t>
    </r>
  </si>
  <si>
    <t>5.3美学收纳</t>
  </si>
  <si>
    <t>（购物车链接）126901033758</t>
  </si>
  <si>
    <t>【私域】-千聊内部-美学收纳-卞栎淳-0元-5/3-健康变美直播-购物车链接</t>
  </si>
  <si>
    <r>
      <rPr>
        <u/>
        <sz val="12"/>
        <color theme="10"/>
        <rFont val="Calibri"/>
        <charset val="134"/>
      </rPr>
      <t>https://t1.nicegoods.cn/financial/experience-plan-sku?launchId=126901033758</t>
    </r>
  </si>
  <si>
    <t>（社群专属）126901152344</t>
  </si>
  <si>
    <t>【私域】-千聊内部-美学收纳-卞栎淳-0元-5/3-健康变美直播-直播弹幕</t>
  </si>
  <si>
    <r>
      <rPr>
        <u/>
        <sz val="12"/>
        <color theme="10"/>
        <rFont val="Calibri"/>
        <charset val="134"/>
      </rPr>
      <t>https://t1.nicegoods.cn/financial/experience-plan-sku?launchId=126901152344</t>
    </r>
  </si>
  <si>
    <t>免费-美学收纳-千聊内部-矩阵私域-刘芳-1V1-变美组-健康变美直播-20260428</t>
  </si>
  <si>
    <t>210500_14224929_financing</t>
  </si>
  <si>
    <r>
      <rPr>
        <u/>
        <sz val="12"/>
        <color theme="10"/>
        <rFont val="Calibri"/>
        <charset val="134"/>
      </rPr>
      <t>https://t1.nicegoods.cn/financial/experience-plan-sku?launchId=126901152344&amp;wcl=210500_14224929_financing</t>
    </r>
  </si>
  <si>
    <r>
      <rPr>
        <u/>
        <sz val="12"/>
        <color theme="10"/>
        <rFont val="Calibri"/>
        <charset val="134"/>
      </rPr>
      <t>https://s.xingqudao.net/SOYeak6O</t>
    </r>
  </si>
  <si>
    <t>免费-美学收纳-千聊内部-矩阵私域-刘芳-朋友圈-变美组-健康变美直播-20260428</t>
  </si>
  <si>
    <t>210500_14224930_financing</t>
  </si>
  <si>
    <r>
      <rPr>
        <u/>
        <sz val="12"/>
        <color theme="10"/>
        <rFont val="Calibri"/>
        <charset val="134"/>
      </rPr>
      <t>https://t1.nicegoods.cn/financial/experience-plan-sku?launchId=126901152344&amp;wcl=210500_14224930_financing</t>
    </r>
  </si>
  <si>
    <r>
      <rPr>
        <u/>
        <sz val="12"/>
        <color theme="10"/>
        <rFont val="Calibri"/>
        <charset val="134"/>
      </rPr>
      <t>https://s.xingqudao.net/SOYeak6Q</t>
    </r>
  </si>
  <si>
    <t>免费-美学收纳-千聊内部-矩阵私域-刘芳-社群-变美组-健康变美直播-20260428</t>
  </si>
  <si>
    <t>210500_14224931_financing</t>
  </si>
  <si>
    <r>
      <rPr>
        <u/>
        <sz val="12"/>
        <color theme="10"/>
        <rFont val="Calibri"/>
        <charset val="134"/>
      </rPr>
      <t>https://t1.nicegoods.cn/financial/experience-plan-sku?launchId=126901152344&amp;wcl=210500_14224931_financing</t>
    </r>
  </si>
  <si>
    <r>
      <rPr>
        <u/>
        <sz val="12"/>
        <color theme="10"/>
        <rFont val="Calibri"/>
        <charset val="134"/>
      </rPr>
      <t>https://s.xingqudao.net/SOYeak6R</t>
    </r>
  </si>
  <si>
    <t>免费-美学收纳-千聊内部-矩阵私域-刘芳-1V1-变美组-健康变美直播-购物车链接-20260428</t>
  </si>
  <si>
    <t>210500_14224927_financing</t>
  </si>
  <si>
    <r>
      <rPr>
        <u/>
        <sz val="12"/>
        <color theme="10"/>
        <rFont val="Calibri"/>
        <charset val="134"/>
      </rPr>
      <t>https://t1.nicegoods.cn/financial/experience-plan-sku?launchId=126901033758&amp;wcl=210500_14224927_financing</t>
    </r>
  </si>
  <si>
    <r>
      <rPr>
        <u/>
        <sz val="12"/>
        <color theme="10"/>
        <rFont val="Calibri"/>
        <charset val="134"/>
      </rPr>
      <t>https://s.xingqudao.net/SOYeak6L</t>
    </r>
  </si>
  <si>
    <t>免费-美学收纳-千聊内部-矩阵私域-刘芳-1V1-变美组-健康变美直播-弹幕链接-20260428</t>
  </si>
  <si>
    <t>210500_14224928_financing</t>
  </si>
  <si>
    <r>
      <rPr>
        <u/>
        <sz val="12"/>
        <color theme="10"/>
        <rFont val="Calibri"/>
        <charset val="134"/>
      </rPr>
      <t>https://t1.nicegoods.cn/financial/experience-plan-sku?launchId=126901152344&amp;wcl=210500_14224928_financing</t>
    </r>
  </si>
  <si>
    <r>
      <rPr>
        <u/>
        <sz val="12"/>
        <color theme="10"/>
        <rFont val="Calibri"/>
        <charset val="134"/>
      </rPr>
      <t>https://s.xingqudao.net/SOYeak6N</t>
    </r>
  </si>
  <si>
    <t>5.5逆龄女神瑜伽</t>
  </si>
  <si>
    <t>（购物车链接）126905670620</t>
  </si>
  <si>
    <t>【私域】-千聊内部-逆龄女神瑜伽-0元-5/5早间健康变美直播-购物车专属</t>
  </si>
  <si>
    <r>
      <rPr>
        <u/>
        <sz val="12"/>
        <color theme="10"/>
        <rFont val="Calibri"/>
        <charset val="134"/>
      </rPr>
      <t>https://t1.nicegoods.cn/financial/experience-plan-sku?launchId=126905670620</t>
    </r>
  </si>
  <si>
    <t>（社群专属）126901137841</t>
  </si>
  <si>
    <t>【私域】-千聊内部-逆龄女神瑜伽-0元-5/5早间健康变美直播-社群专属副本</t>
  </si>
  <si>
    <r>
      <rPr>
        <u/>
        <sz val="12"/>
        <color theme="10"/>
        <rFont val="Calibri"/>
        <charset val="134"/>
      </rPr>
      <t>https://t1.nicegoods.cn/financial/experience-plan-sku?launchId=126901137841</t>
    </r>
  </si>
  <si>
    <t>免费-逆龄女神瑜伽-千聊内部-矩阵私域-刘芳-1V1-变美组-健康变美直播-20260428</t>
  </si>
  <si>
    <t>210500_14224934_financing</t>
  </si>
  <si>
    <r>
      <rPr>
        <u/>
        <sz val="12"/>
        <color theme="10"/>
        <rFont val="Calibri"/>
        <charset val="134"/>
      </rPr>
      <t>https://t1.nicegoods.cn/financial/experience-plan-sku?launchId=126901137841&amp;wcl=210500_14224934_financing</t>
    </r>
  </si>
  <si>
    <r>
      <rPr>
        <u/>
        <sz val="12"/>
        <color theme="10"/>
        <rFont val="Calibri"/>
        <charset val="134"/>
      </rPr>
      <t>https://s.xingqudao.net/SOYeak6W</t>
    </r>
  </si>
  <si>
    <t>免费-逆龄女神瑜伽-千聊内部-矩阵私域-刘芳-朋友圈-变美组-健康变美直播-20260428</t>
  </si>
  <si>
    <t>210500_14224935_financing</t>
  </si>
  <si>
    <r>
      <rPr>
        <u/>
        <sz val="12"/>
        <color theme="10"/>
        <rFont val="Calibri"/>
        <charset val="134"/>
      </rPr>
      <t>https://t1.nicegoods.cn/financial/experience-plan-sku?launchId=126901137841&amp;wcl=210500_14224935_financing</t>
    </r>
  </si>
  <si>
    <r>
      <rPr>
        <u/>
        <sz val="12"/>
        <color theme="10"/>
        <rFont val="Calibri"/>
        <charset val="134"/>
      </rPr>
      <t>https://s.xingqudao.net/SOYeak6X</t>
    </r>
  </si>
  <si>
    <t>免费-逆龄女神瑜伽-千聊内部-矩阵私域-刘芳-社群-变美组-健康变美直播-20260428</t>
  </si>
  <si>
    <t>210500_14224936_financing</t>
  </si>
  <si>
    <r>
      <rPr>
        <u/>
        <sz val="12"/>
        <color theme="10"/>
        <rFont val="Calibri"/>
        <charset val="134"/>
      </rPr>
      <t>https://t1.nicegoods.cn/financial/experience-plan-sku?launchId=126901137841&amp;wcl=210500_14224936_financing</t>
    </r>
  </si>
  <si>
    <r>
      <rPr>
        <u/>
        <sz val="12"/>
        <color theme="10"/>
        <rFont val="Calibri"/>
        <charset val="134"/>
      </rPr>
      <t>https://s.xingqudao.net/SOYeak6Z</t>
    </r>
  </si>
  <si>
    <t>免费-逆龄女神瑜伽-千聊内部-矩阵私域-刘芳-1V1-变美组-健康变美直播-购物车链接-20260428</t>
  </si>
  <si>
    <t>210500_14224932_financing</t>
  </si>
  <si>
    <r>
      <rPr>
        <u/>
        <sz val="12"/>
        <color theme="10"/>
        <rFont val="Calibri"/>
        <charset val="134"/>
      </rPr>
      <t>https://t1.nicegoods.cn/financial/experience-plan-sku?launchId=126905670620&amp;wcl=210500_14224932_financing</t>
    </r>
  </si>
  <si>
    <r>
      <rPr>
        <u/>
        <sz val="12"/>
        <color theme="10"/>
        <rFont val="Calibri"/>
        <charset val="134"/>
      </rPr>
      <t>https://s.xingqudao.net/SOYeak6S</t>
    </r>
  </si>
  <si>
    <t>免费-逆龄女神瑜伽-千聊内部-矩阵私域-刘芳-1V1-变美组-健康变美直播-弹幕链接-20260428</t>
  </si>
  <si>
    <t>210500_14224933_financing</t>
  </si>
  <si>
    <r>
      <rPr>
        <u/>
        <sz val="12"/>
        <color theme="10"/>
        <rFont val="Calibri"/>
        <charset val="134"/>
      </rPr>
      <t>https://t1.nicegoods.cn/financial/experience-plan-sku?launchId=126901137841&amp;wcl=210500_14224933_financing</t>
    </r>
  </si>
  <si>
    <r>
      <rPr>
        <u/>
        <sz val="12"/>
        <color theme="10"/>
        <rFont val="Calibri"/>
        <charset val="134"/>
      </rPr>
      <t>https://s.xingqudao.net/SOYeak6U</t>
    </r>
  </si>
  <si>
    <t>复用4.17日
开播时间：18:00</t>
  </si>
  <si>
    <r>
      <rPr>
        <b/>
        <sz val="13.5"/>
        <color rgb="FF1F2329"/>
        <rFont val="Calibri"/>
        <charset val="134"/>
      </rPr>
      <t>预约链接：</t>
    </r>
    <r>
      <rPr>
        <u/>
        <sz val="13.5"/>
        <color theme="10"/>
        <rFont val="Calibri"/>
        <charset val="134"/>
      </rPr>
      <t>https://s.xingqudao.net/SOYeaj13</t>
    </r>
  </si>
  <si>
    <t>4.30 风光摄影</t>
  </si>
  <si>
    <t>【私域】-风光摄影-千聊内部-兴趣组-兴趣直播-直播弹幕4.30开播</t>
  </si>
  <si>
    <t>【私域】-风光摄影-千聊内部-兴趣组-兴趣直播-购物车-4.30开播</t>
  </si>
  <si>
    <t>免费-风光摄影-千聊内部-矩阵私域-李慧-社群-兴趣组-兴趣直播-20260429</t>
  </si>
  <si>
    <r>
      <rPr>
        <u/>
        <sz val="12"/>
        <color theme="10"/>
        <rFont val="宋体"/>
        <charset val="134"/>
      </rPr>
      <t>https://s.xingqudao.net/SOYebBdN</t>
    </r>
  </si>
  <si>
    <t>210500_14226882_financing</t>
  </si>
  <si>
    <r>
      <rPr>
        <u/>
        <sz val="12"/>
        <color theme="10"/>
        <rFont val="宋体"/>
        <charset val="134"/>
      </rPr>
      <t>https://t1.nicegoods.cn/financial/experience-plan-sku?launchId=127049051335&amp;wcl=210500_14226882_financing</t>
    </r>
  </si>
  <si>
    <t>免费-风光摄影-千聊内部-矩阵私域-李慧-1v1-兴趣组-兴趣直播-20260429</t>
  </si>
  <si>
    <r>
      <rPr>
        <u/>
        <sz val="12"/>
        <color theme="10"/>
        <rFont val="宋体"/>
        <charset val="134"/>
      </rPr>
      <t>https://s.xingqudao.net/SOYebBdP</t>
    </r>
  </si>
  <si>
    <t>210500_14226883_financing</t>
  </si>
  <si>
    <r>
      <rPr>
        <u/>
        <sz val="12"/>
        <color theme="10"/>
        <rFont val="宋体"/>
        <charset val="134"/>
      </rPr>
      <t>https://t1.nicegoods.cn/financial/experience-plan-sku?launchId=127049051335&amp;wcl=210500_14226883_financing</t>
    </r>
  </si>
  <si>
    <t>免费-风光摄影-千聊内部-矩阵私域-李慧-朋友圈-兴趣组-兴趣直播-20260429</t>
  </si>
  <si>
    <r>
      <rPr>
        <u/>
        <sz val="12"/>
        <color theme="10"/>
        <rFont val="宋体"/>
        <charset val="134"/>
      </rPr>
      <t>https://s.xingqudao.net/SOYebBdQ</t>
    </r>
  </si>
  <si>
    <t>210500_14226884_financing</t>
  </si>
  <si>
    <r>
      <rPr>
        <u/>
        <sz val="12"/>
        <color theme="10"/>
        <rFont val="宋体"/>
        <charset val="134"/>
      </rPr>
      <t>https://t1.nicegoods.cn/financial/experience-plan-sku?launchId=127049051335&amp;wcl=210500_14226884_financing</t>
    </r>
  </si>
  <si>
    <t>免费-风光摄影-千聊内部-矩阵私域-李慧-1v1-兴趣组-购物车链接-20260429</t>
  </si>
  <si>
    <r>
      <rPr>
        <u/>
        <sz val="12"/>
        <color theme="10"/>
        <rFont val="宋体"/>
        <charset val="134"/>
      </rPr>
      <t>https://s.xingqudao.net/SOYebBdR</t>
    </r>
  </si>
  <si>
    <t>210500_14226885_financing</t>
  </si>
  <si>
    <r>
      <rPr>
        <u/>
        <sz val="12"/>
        <color theme="10"/>
        <rFont val="宋体"/>
        <charset val="134"/>
      </rPr>
      <t>https://t1.nicegoods.cn/financial/experience-plan-sku?launchId=127049051370&amp;wcl=210500_14226885_financing</t>
    </r>
  </si>
  <si>
    <t>免费-风光摄影-千聊内部-矩阵私域-李慧-1v1-兴趣组-直播弹幕渠道-20260429</t>
  </si>
  <si>
    <r>
      <rPr>
        <u/>
        <sz val="12"/>
        <color theme="10"/>
        <rFont val="宋体"/>
        <charset val="134"/>
      </rPr>
      <t>https://s.xingqudao.net/SOYebBdS</t>
    </r>
  </si>
  <si>
    <t>210500_14226886_financing</t>
  </si>
  <si>
    <r>
      <rPr>
        <u/>
        <sz val="12"/>
        <color theme="10"/>
        <rFont val="宋体"/>
        <charset val="134"/>
      </rPr>
      <t>https://t1.nicegoods.cn/financial/experience-plan-sku?launchId=127049051335&amp;wcl=210500_14226886_financing</t>
    </r>
  </si>
  <si>
    <t>5.7摄影美学</t>
  </si>
  <si>
    <t>【私域】-摄影美学-千聊内部-0元-兴趣组-兴趣直播-购物车-5.5开播</t>
  </si>
  <si>
    <t xml:space="preserve">摄影美学-段晓晖单人
复用4.14日段
开播时间：19:00
</t>
  </si>
  <si>
    <r>
      <rPr>
        <b/>
        <sz val="10.5"/>
        <color rgb="FF1F2329"/>
        <rFont val="Calibri"/>
        <charset val="134"/>
      </rPr>
      <t>预约链接：</t>
    </r>
    <r>
      <rPr>
        <u/>
        <sz val="10.5"/>
        <color theme="10"/>
        <rFont val="Calibri"/>
        <charset val="134"/>
      </rPr>
      <t>https://s.xingqudao.net/SOYeaj8Z</t>
    </r>
  </si>
  <si>
    <t>【私域】-摄影美学-千聊内部-0元-兴趣组-兴趣直播-直播弹幕-5.5开播</t>
  </si>
  <si>
    <t>免费-摄影美学-千聊内部-矩阵私域-李慧-社群-兴趣组-兴趣直播-20260429</t>
  </si>
  <si>
    <r>
      <rPr>
        <u/>
        <sz val="12"/>
        <color theme="10"/>
        <rFont val="宋体"/>
        <charset val="134"/>
      </rPr>
      <t>https://s.xingqudao.net/SOYebBdT</t>
    </r>
  </si>
  <si>
    <t>210500_14226887_financing</t>
  </si>
  <si>
    <r>
      <rPr>
        <u/>
        <sz val="12"/>
        <color theme="10"/>
        <rFont val="宋体"/>
        <charset val="134"/>
      </rPr>
      <t>https://t1.nicegoods.cn/financial/experience-plan-sku?launchId=127047680611&amp;wcl=210500_14226887_financing</t>
    </r>
  </si>
  <si>
    <t>免费-摄影美学-千聊内部-矩阵私域-李慧-1v1-兴趣组-兴趣直播-20260429</t>
  </si>
  <si>
    <r>
      <rPr>
        <u/>
        <sz val="12"/>
        <color theme="10"/>
        <rFont val="宋体"/>
        <charset val="134"/>
      </rPr>
      <t>https://s.xingqudao.net/SOYebBdU</t>
    </r>
  </si>
  <si>
    <t>210500_14226888_financing</t>
  </si>
  <si>
    <r>
      <rPr>
        <u/>
        <sz val="12"/>
        <color theme="10"/>
        <rFont val="宋体"/>
        <charset val="134"/>
      </rPr>
      <t>https://t1.nicegoods.cn/financial/experience-plan-sku?launchId=127047680611&amp;wcl=210500_14226888_financing</t>
    </r>
  </si>
  <si>
    <t>免费-摄影美学-千聊内部-矩阵私域-李慧-朋友圈-兴趣组-兴趣直播-20260429</t>
  </si>
  <si>
    <r>
      <rPr>
        <u/>
        <sz val="12"/>
        <color theme="10"/>
        <rFont val="宋体"/>
        <charset val="134"/>
      </rPr>
      <t>https://s.xingqudao.net/SOYebBdV</t>
    </r>
  </si>
  <si>
    <t>210500_14226889_financing</t>
  </si>
  <si>
    <r>
      <rPr>
        <u/>
        <sz val="12"/>
        <color theme="10"/>
        <rFont val="宋体"/>
        <charset val="134"/>
      </rPr>
      <t>https://t1.nicegoods.cn/financial/experience-plan-sku?launchId=127047680611&amp;wcl=210500_14226889_financing</t>
    </r>
  </si>
  <si>
    <t>免费-摄影美学-千聊内部-矩阵私域-李慧-1v1-兴趣组-购物车链接-20260429</t>
  </si>
  <si>
    <r>
      <rPr>
        <u/>
        <sz val="12"/>
        <color theme="10"/>
        <rFont val="宋体"/>
        <charset val="134"/>
      </rPr>
      <t>https://s.xingqudao.net/SOYebBdW</t>
    </r>
  </si>
  <si>
    <t>210500_14226890_financing</t>
  </si>
  <si>
    <r>
      <rPr>
        <u/>
        <sz val="12"/>
        <color theme="10"/>
        <rFont val="宋体"/>
        <charset val="134"/>
      </rPr>
      <t>https://t1.nicegoods.cn/financial/experience-plan-sku?launchId=127049052330&amp;wcl=210500_14226890_financing</t>
    </r>
  </si>
  <si>
    <t>免费-摄影美学-千聊内部-矩阵私域-李慧-1v1-兴趣组-直播弹幕渠道-20260429</t>
  </si>
  <si>
    <r>
      <rPr>
        <u/>
        <sz val="12"/>
        <color theme="10"/>
        <rFont val="宋体"/>
        <charset val="134"/>
      </rPr>
      <t>https://s.xingqudao.net/SOYebBdX</t>
    </r>
  </si>
  <si>
    <t>210500_14226891_financing</t>
  </si>
  <si>
    <r>
      <rPr>
        <u/>
        <sz val="12"/>
        <color theme="10"/>
        <rFont val="宋体"/>
        <charset val="134"/>
      </rPr>
      <t>https://t1.nicegoods.cn/financial/experience-plan-sku?launchId=127047680611&amp;wcl=210500_14226891_financing</t>
    </r>
  </si>
  <si>
    <t>5.9短视频</t>
  </si>
  <si>
    <t>【私域】-短视频-千聊内部-兴趣组-兴趣直播-购物车-5.9开播</t>
  </si>
  <si>
    <t xml:space="preserve">短视频复用（跟4.11一样）
开播时间：19:00
</t>
  </si>
  <si>
    <r>
      <rPr>
        <b/>
        <sz val="15.75"/>
        <color rgb="FF1F2329"/>
        <rFont val="Calibri"/>
        <charset val="134"/>
      </rPr>
      <t>预约链接：</t>
    </r>
    <r>
      <rPr>
        <u/>
        <sz val="15.75"/>
        <color theme="10"/>
        <rFont val="Calibri"/>
        <charset val="134"/>
      </rPr>
      <t>https://s.xingqudao.net/SOYeaHtt</t>
    </r>
  </si>
  <si>
    <t>【私域】-短视频-千聊内部-兴趣组-兴趣直播-直播弹幕-5.9开播</t>
  </si>
  <si>
    <t>免费-短视频-千聊内部-矩阵私域-李慧-社群-兴趣组-兴趣直播-20260429</t>
  </si>
  <si>
    <r>
      <rPr>
        <u/>
        <sz val="12"/>
        <color theme="10"/>
        <rFont val="宋体"/>
        <charset val="134"/>
      </rPr>
      <t>https://s.xingqudao.net/SOYebBdZ</t>
    </r>
  </si>
  <si>
    <t>210500_14226892_financing</t>
  </si>
  <si>
    <r>
      <rPr>
        <u/>
        <sz val="12"/>
        <color theme="10"/>
        <rFont val="宋体"/>
        <charset val="134"/>
      </rPr>
      <t>https://t1.nicegoods.cn/financial/experience-plan-sku?launchId=127049053332&amp;wcl=210500_14226892_financing</t>
    </r>
  </si>
  <si>
    <t>免费-短视频-千聊内部-矩阵私域-李慧-1v1-兴趣组-兴趣直播-20260429</t>
  </si>
  <si>
    <r>
      <rPr>
        <u/>
        <sz val="12"/>
        <color theme="10"/>
        <rFont val="宋体"/>
        <charset val="134"/>
      </rPr>
      <t>https://s.xingqudao.net/SOYebBda</t>
    </r>
  </si>
  <si>
    <t>210500_14226893_financing</t>
  </si>
  <si>
    <r>
      <rPr>
        <u/>
        <sz val="12"/>
        <color theme="10"/>
        <rFont val="宋体"/>
        <charset val="134"/>
      </rPr>
      <t>https://t1.nicegoods.cn/financial/experience-plan-sku?launchId=127049053332&amp;wcl=210500_14226893_financing</t>
    </r>
  </si>
  <si>
    <t>免费-短视频-千聊内部-矩阵私域-李慧-朋友圈-兴趣组-兴趣直播-20260429</t>
  </si>
  <si>
    <r>
      <rPr>
        <u/>
        <sz val="12"/>
        <color theme="10"/>
        <rFont val="宋体"/>
        <charset val="134"/>
      </rPr>
      <t>https://s.xingqudao.net/SOYebBdb</t>
    </r>
  </si>
  <si>
    <t>210500_14226894_financing</t>
  </si>
  <si>
    <r>
      <rPr>
        <u/>
        <sz val="12"/>
        <color theme="10"/>
        <rFont val="宋体"/>
        <charset val="134"/>
      </rPr>
      <t>https://t1.nicegoods.cn/financial/experience-plan-sku?launchId=127049053332&amp;wcl=210500_14226894_financing</t>
    </r>
  </si>
  <si>
    <t>免费-短视频-千聊内部-矩阵私域-李慧-1v1-兴趣组-购物车链接-20260429</t>
  </si>
  <si>
    <r>
      <rPr>
        <u/>
        <sz val="12"/>
        <color theme="10"/>
        <rFont val="宋体"/>
        <charset val="134"/>
      </rPr>
      <t>https://s.xingqudao.net/SOYebBdc</t>
    </r>
  </si>
  <si>
    <t>210500_14226895_financing</t>
  </si>
  <si>
    <r>
      <rPr>
        <u/>
        <sz val="12"/>
        <color theme="10"/>
        <rFont val="宋体"/>
        <charset val="134"/>
      </rPr>
      <t>https://t1.nicegoods.cn/financial/experience-plan-sku?launchId=127047682729&amp;wcl=210500_14226895_financing</t>
    </r>
  </si>
  <si>
    <t>免费-短视频-千聊内部-矩阵私域-李慧-1v1-兴趣组-直播弹幕渠道-20260429</t>
  </si>
  <si>
    <r>
      <rPr>
        <u/>
        <sz val="12"/>
        <color theme="10"/>
        <rFont val="宋体"/>
        <charset val="134"/>
      </rPr>
      <t>https://s.xingqudao.net/SOYebBdd</t>
    </r>
  </si>
  <si>
    <t>210500_14226896_financing</t>
  </si>
  <si>
    <r>
      <rPr>
        <u/>
        <sz val="12"/>
        <color theme="10"/>
        <rFont val="宋体"/>
        <charset val="134"/>
      </rPr>
      <t>https://t1.nicegoods.cn/financial/experience-plan-sku?launchId=127049053332&amp;wcl=210500_14226896_financing</t>
    </r>
  </si>
  <si>
    <t>20</t>
  </si>
  <si>
    <t>21</t>
  </si>
  <si>
    <t>22</t>
  </si>
  <si>
    <t>23</t>
  </si>
  <si>
    <t>24</t>
  </si>
  <si>
    <t>25</t>
  </si>
  <si>
    <t>26</t>
  </si>
  <si>
    <t>五禽戏晨练
7:00-8:30
东方养正瑜伽晨练
8:30-10:00</t>
  </si>
  <si>
    <t>一杰晨练
7:00-8:30
逆龄女神瑜伽瑜伽晨练
8:30-10:00</t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</si>
  <si>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2023年1月—2025年9月28日
</t>
    </r>
    <r>
      <rPr>
        <sz val="18"/>
        <color rgb="FF000000"/>
        <rFont val="Calibri"/>
        <charset val="134"/>
      </rPr>
      <t>瑜伽BCD（266934）</t>
    </r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</si>
  <si>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2025年3月31日—2026年4月12日
</t>
    </r>
    <r>
      <rPr>
        <sz val="18"/>
        <color rgb="FF000000"/>
        <rFont val="Calibri"/>
        <charset val="134"/>
      </rPr>
      <t>气血（141732）</t>
    </r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</si>
  <si>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2025年3月31日—2026年4月12日
</t>
    </r>
    <r>
      <rPr>
        <sz val="18"/>
        <color rgb="FF000000"/>
        <rFont val="Calibri"/>
        <charset val="134"/>
      </rPr>
      <t xml:space="preserve">太极BCD（432710）
</t>
    </r>
    <r>
      <rPr>
        <b/>
        <sz val="18"/>
        <color rgb="FFF54A45"/>
        <rFont val="Calibri"/>
        <charset val="134"/>
      </rPr>
      <t xml:space="preserve">2023年1月—2026年4月12日
</t>
    </r>
    <r>
      <rPr>
        <sz val="18"/>
        <color rgb="FF000000"/>
        <rFont val="Calibri"/>
        <charset val="134"/>
      </rPr>
      <t>固气、睡眠（164406）</t>
    </r>
  </si>
  <si>
    <r>
      <rPr>
        <b/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2023年1月—2026年4月12日
</t>
    </r>
    <r>
      <rPr>
        <b/>
        <sz val="18"/>
        <color rgb="FF000000"/>
        <rFont val="Calibri"/>
        <charset val="134"/>
      </rPr>
      <t>普拉提BCD(224973)</t>
    </r>
  </si>
  <si>
    <r>
      <rPr>
        <b/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2023年1月—2026年4月5日
</t>
    </r>
    <r>
      <rPr>
        <b/>
        <sz val="18"/>
        <color rgb="FF000000"/>
        <rFont val="Calibri"/>
        <charset val="134"/>
      </rPr>
      <t>普拉提SA(338282)</t>
    </r>
  </si>
  <si>
    <t>手机摄影大赛（单人）
APP2号位</t>
  </si>
  <si>
    <t>手机摄影大赛-潘庆华
APP2号位
仅APP开播</t>
  </si>
  <si>
    <t>数字人宣发资源位</t>
  </si>
  <si>
    <t>数智人1
健康营养
19:30开播</t>
  </si>
  <si>
    <t>数智人2
健康营养
19:30开播</t>
  </si>
  <si>
    <t>数智人3
健康营养
19:30开播</t>
  </si>
  <si>
    <t>相机摄影-李涛
北京户外直播</t>
  </si>
  <si>
    <t>傅国翔599元中价课
（新栏目）</t>
  </si>
  <si>
    <r>
      <rPr>
        <b/>
        <sz val="18"/>
        <color rgb="FFFFFFFF"/>
        <rFont val="等线"/>
        <charset val="134"/>
        <scheme val="minor"/>
      </rPr>
      <t xml:space="preserve">【伪直播复用】
</t>
    </r>
    <r>
      <rPr>
        <sz val="10"/>
        <rFont val="宋体"/>
        <charset val="134"/>
      </rPr>
      <t xml:space="preserve">一杰瑜伽
</t>
    </r>
    <r>
      <rPr>
        <sz val="10"/>
        <rFont val="宋体"/>
        <charset val="134"/>
      </rPr>
      <t xml:space="preserve">复用4.2
</t>
    </r>
    <r>
      <rPr>
        <sz val="10"/>
        <rFont val="宋体"/>
        <charset val="134"/>
      </rPr>
      <t xml:space="preserve">强调“独家课堂”
</t>
    </r>
    <r>
      <rPr>
        <sz val="10"/>
        <rFont val="宋体"/>
        <charset val="134"/>
      </rPr>
      <t>预约链接：</t>
    </r>
    <r>
      <rPr>
        <b/>
        <u/>
        <sz val="18"/>
        <color theme="10"/>
        <rFont val="Calibri"/>
        <charset val="134"/>
      </rPr>
      <t>https://s.xingqudao.net/SOYeXPne</t>
    </r>
  </si>
  <si>
    <r>
      <rPr>
        <b/>
        <sz val="18"/>
        <color rgb="FFFFFFFF"/>
        <rFont val="等线"/>
        <charset val="134"/>
        <scheme val="minor"/>
      </rPr>
      <t xml:space="preserve">【伪直播复用】
</t>
    </r>
    <r>
      <rPr>
        <sz val="10"/>
        <rFont val="宋体"/>
        <charset val="134"/>
      </rPr>
      <t xml:space="preserve">收纳，不需要剪辑
</t>
    </r>
    <r>
      <rPr>
        <sz val="10"/>
        <rFont val="宋体"/>
        <charset val="134"/>
      </rPr>
      <t xml:space="preserve">开播时间：晚上19:00
</t>
    </r>
    <r>
      <rPr>
        <sz val="10"/>
        <rFont val="宋体"/>
        <charset val="134"/>
      </rPr>
      <t xml:space="preserve">强调“独家课堂”
</t>
    </r>
    <r>
      <rPr>
        <sz val="10"/>
        <rFont val="宋体"/>
        <charset val="134"/>
      </rPr>
      <t>预约链接：</t>
    </r>
    <r>
      <rPr>
        <b/>
        <u/>
        <sz val="18"/>
        <color theme="10"/>
        <rFont val="Calibri"/>
        <charset val="134"/>
      </rPr>
      <t>https://s.xingqudao.net/SOYeXQE0</t>
    </r>
  </si>
  <si>
    <r>
      <rPr>
        <b/>
        <sz val="18"/>
        <color rgb="FF000000"/>
        <rFont val="Calibri"/>
        <charset val="134"/>
      </rPr>
      <t xml:space="preserve">君合太极-刘君合
单人异地
APP1号位
</t>
    </r>
    <r>
      <rPr>
        <b/>
        <sz val="30"/>
        <color rgb="FFF54A45"/>
        <rFont val="Calibri"/>
        <charset val="134"/>
      </rPr>
      <t>提前day-3宣发</t>
    </r>
  </si>
  <si>
    <t>2025-05-01 00:00——2026-04-12
已购太极、气血、固气、健康营养、健康食养、五禽戏、睡眠正式营</t>
  </si>
  <si>
    <t>A</t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</si>
  <si>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2023年1月—2026年4月12日
</t>
    </r>
    <r>
      <rPr>
        <sz val="18"/>
        <color rgb="FF000000"/>
        <rFont val="Calibri"/>
        <charset val="134"/>
      </rPr>
      <t xml:space="preserve">瑜伽SA(346806)
</t>
    </r>
    <r>
      <rPr>
        <b/>
        <sz val="18"/>
        <color rgb="FFF54A45"/>
        <rFont val="Calibri"/>
        <charset val="134"/>
      </rPr>
      <t xml:space="preserve">2023年1月—2025年9月28日
</t>
    </r>
    <r>
      <rPr>
        <sz val="18"/>
        <color rgb="FF000000"/>
        <rFont val="Calibri"/>
        <charset val="134"/>
      </rPr>
      <t>中医变美（152024）</t>
    </r>
  </si>
  <si>
    <r>
      <rPr>
        <b/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2025年9月29日—2026年4月12日
</t>
    </r>
    <r>
      <rPr>
        <b/>
        <sz val="18"/>
        <color rgb="FF000000"/>
        <rFont val="Calibri"/>
        <charset val="134"/>
      </rPr>
      <t xml:space="preserve">中医变美（80429）
</t>
    </r>
    <r>
      <rPr>
        <b/>
        <sz val="18"/>
        <color rgb="FFF54A45"/>
        <rFont val="Calibri"/>
        <charset val="134"/>
      </rPr>
      <t xml:space="preserve">2023年1月—2026年4月12日
</t>
    </r>
    <r>
      <rPr>
        <b/>
        <sz val="18"/>
        <color rgb="FF000000"/>
        <rFont val="Calibri"/>
        <charset val="134"/>
      </rPr>
      <t xml:space="preserve">普拉提BCD(224973)
</t>
    </r>
  </si>
  <si>
    <r>
      <rPr>
        <b/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2023年1月1日—2026年4月12日
</t>
    </r>
    <r>
      <rPr>
        <b/>
        <sz val="18"/>
        <color rgb="FF000000"/>
        <rFont val="Calibri"/>
        <charset val="134"/>
      </rPr>
      <t xml:space="preserve">亚健康管理（19144）
</t>
    </r>
    <r>
      <rPr>
        <b/>
        <sz val="18"/>
        <color rgb="FFF54A45"/>
        <rFont val="Calibri"/>
        <charset val="134"/>
      </rPr>
      <t xml:space="preserve">2023年1月—2026年4月12日
</t>
    </r>
    <r>
      <rPr>
        <b/>
        <sz val="18"/>
        <color rgb="FF000000"/>
        <rFont val="Calibri"/>
        <charset val="134"/>
      </rPr>
      <t xml:space="preserve">健康营养（195603）
</t>
    </r>
    <r>
      <rPr>
        <b/>
        <sz val="18"/>
        <color rgb="FFF54A45"/>
        <rFont val="Calibri"/>
        <charset val="134"/>
      </rPr>
      <t xml:space="preserve">2025年3月31日—2026年4月12日
</t>
    </r>
    <r>
      <rPr>
        <b/>
        <sz val="18"/>
        <color rgb="FF000000"/>
        <rFont val="Calibri"/>
        <charset val="134"/>
      </rPr>
      <t xml:space="preserve">太极SA(279348)
</t>
    </r>
    <r>
      <rPr>
        <b/>
        <sz val="18"/>
        <color rgb="FFF54A45"/>
        <rFont val="Calibri"/>
        <charset val="134"/>
      </rPr>
      <t xml:space="preserve">2023年1月—2025年3月30日
</t>
    </r>
    <r>
      <rPr>
        <b/>
        <sz val="18"/>
        <color rgb="FF000000"/>
        <rFont val="Calibri"/>
        <charset val="134"/>
      </rPr>
      <t>太极BCD(276045)</t>
    </r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</si>
  <si>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2023年1月—2025年9月28日
</t>
    </r>
    <r>
      <rPr>
        <sz val="18"/>
        <color rgb="FF000000"/>
        <rFont val="Calibri"/>
        <charset val="134"/>
      </rPr>
      <t xml:space="preserve">手机摄影BCD（99436）
</t>
    </r>
    <r>
      <rPr>
        <b/>
        <sz val="18"/>
        <color rgb="FFF54A45"/>
        <rFont val="Calibri"/>
        <charset val="134"/>
      </rPr>
      <t xml:space="preserve">2023年1月—2026年4月12日
</t>
    </r>
    <r>
      <rPr>
        <sz val="18"/>
        <color rgb="FF000000"/>
        <rFont val="Calibri"/>
        <charset val="134"/>
      </rPr>
      <t xml:space="preserve">短视频（239572）
</t>
    </r>
    <r>
      <rPr>
        <b/>
        <sz val="18"/>
        <color rgb="FFF54A45"/>
        <rFont val="Calibri"/>
        <charset val="134"/>
      </rPr>
      <t xml:space="preserve">2025年12月29日—2026年4月12日
</t>
    </r>
    <r>
      <rPr>
        <sz val="18"/>
        <color rgb="FF000000"/>
        <rFont val="Calibri"/>
        <charset val="134"/>
      </rPr>
      <t>国际声乐、摄影美学（36561）</t>
    </r>
  </si>
  <si>
    <r>
      <rPr>
        <sz val="18"/>
        <color rgb="FF000000"/>
        <rFont val="Calibri"/>
        <charset val="134"/>
      </rPr>
      <t xml:space="preserve">【存量】
</t>
    </r>
    <r>
      <rPr>
        <sz val="18"/>
        <color rgb="FFF54A45"/>
        <rFont val="Calibri"/>
        <charset val="134"/>
      </rPr>
      <t xml:space="preserve">2023年1月—2026年3月29日
</t>
    </r>
    <r>
      <rPr>
        <sz val="18"/>
        <color rgb="FF000000"/>
        <rFont val="Calibri"/>
        <charset val="134"/>
      </rPr>
      <t xml:space="preserve">普拉提SA(279160)
</t>
    </r>
    <r>
      <rPr>
        <sz val="18"/>
        <color rgb="FFF54A45"/>
        <rFont val="Calibri"/>
        <charset val="134"/>
      </rPr>
      <t xml:space="preserve">2023年1月—2025年9月21日
</t>
    </r>
    <r>
      <rPr>
        <sz val="18"/>
        <color rgb="FF000000"/>
        <rFont val="Calibri"/>
        <charset val="134"/>
      </rPr>
      <t xml:space="preserve">中医变美（153071）
</t>
    </r>
    <r>
      <rPr>
        <sz val="18"/>
        <color rgb="FFF54A45"/>
        <rFont val="Calibri"/>
        <charset val="134"/>
      </rPr>
      <t xml:space="preserve">2023年1月—2026年4月5日
</t>
    </r>
    <r>
      <rPr>
        <sz val="18"/>
        <color rgb="FF000000"/>
        <rFont val="Calibri"/>
        <charset val="134"/>
      </rPr>
      <t>美学（50093）</t>
    </r>
  </si>
  <si>
    <t>私域周期性主题测试直播
阿颜
唐幼馨-卖课日</t>
  </si>
  <si>
    <r>
      <rPr>
        <b/>
        <sz val="18"/>
        <color rgb="FFF54A45"/>
        <rFont val="Calibri"/>
        <charset val="134"/>
      </rPr>
      <t xml:space="preserve">2025年9月29日—2026年4月12日
</t>
    </r>
    <r>
      <rPr>
        <sz val="18"/>
        <color rgb="FF000000"/>
        <rFont val="Calibri"/>
        <charset val="134"/>
      </rPr>
      <t xml:space="preserve">瑜伽BCD(84539)
</t>
    </r>
    <r>
      <rPr>
        <b/>
        <sz val="18"/>
        <color rgb="FFF54A45"/>
        <rFont val="Calibri"/>
        <charset val="134"/>
      </rPr>
      <t xml:space="preserve">2023年1月—2026年4月12日
</t>
    </r>
    <r>
      <rPr>
        <sz val="18"/>
        <color rgb="FF000000"/>
        <rFont val="Calibri"/>
        <charset val="134"/>
      </rPr>
      <t>东方养正瑜伽（115869）
面部驻颜瑜伽（18319）</t>
    </r>
  </si>
  <si>
    <t>智能直播</t>
  </si>
  <si>
    <r>
      <rPr>
        <b/>
        <sz val="18"/>
        <color rgb="FFFFFFFF"/>
        <rFont val="等线"/>
        <charset val="134"/>
        <scheme val="minor"/>
      </rPr>
      <t xml:space="preserve">唱歌燃复用，不需要剪辑（直播间id:3660444337）
</t>
    </r>
    <r>
      <rPr>
        <sz val="10"/>
        <rFont val="宋体"/>
        <charset val="134"/>
      </rPr>
      <t xml:space="preserve">开播时间：晚上19:00
</t>
    </r>
    <r>
      <rPr>
        <sz val="10"/>
        <rFont val="宋体"/>
        <charset val="134"/>
      </rPr>
      <t xml:space="preserve">单课ID：115804645632
</t>
    </r>
    <r>
      <rPr>
        <sz val="10"/>
        <rFont val="宋体"/>
        <charset val="134"/>
      </rPr>
      <t>预约链接：</t>
    </r>
    <r>
      <rPr>
        <b/>
        <u/>
        <sz val="18"/>
        <color theme="10"/>
        <rFont val="Calibri"/>
        <charset val="134"/>
      </rPr>
      <t>https://s.xingqudao.net/SOYeWgt4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b/>
        <u/>
        <sz val="18"/>
        <color theme="10"/>
        <rFont val="Calibri"/>
        <charset val="134"/>
      </rPr>
      <t>智能纪要：2026年2月w1唱歌燃伪直播 2026年2月3日</t>
    </r>
    <r>
      <rPr>
        <sz val="10"/>
        <rFont val="宋体"/>
        <charset val="134"/>
      </rPr>
      <t xml:space="preserve"> </t>
    </r>
  </si>
  <si>
    <r>
      <rPr>
        <b/>
        <sz val="18"/>
        <color rgb="FFFFFFFF"/>
        <rFont val="等线"/>
        <charset val="134"/>
        <scheme val="minor"/>
      </rPr>
      <t xml:space="preserve">王溪健康营养
</t>
    </r>
    <r>
      <rPr>
        <sz val="10"/>
        <rFont val="宋体"/>
        <charset val="134"/>
      </rPr>
      <t xml:space="preserve">        复用4.15   
</t>
    </r>
    <r>
      <rPr>
        <sz val="10"/>
        <rFont val="宋体"/>
        <charset val="134"/>
      </rPr>
      <t xml:space="preserve">开播时间：晚上19:00
</t>
    </r>
    <r>
      <rPr>
        <sz val="10"/>
        <rFont val="宋体"/>
        <charset val="134"/>
      </rPr>
      <t xml:space="preserve">单课ID：125875823590
</t>
    </r>
    <r>
      <rPr>
        <sz val="10"/>
        <rFont val="宋体"/>
        <charset val="134"/>
      </rPr>
      <t>预约链接：</t>
    </r>
    <r>
      <rPr>
        <b/>
        <u/>
        <sz val="18"/>
        <color theme="10"/>
        <rFont val="Calibri"/>
        <charset val="134"/>
      </rPr>
      <t>https://s.xingqudao.net/SOYeYAFZ</t>
    </r>
  </si>
  <si>
    <r>
      <rPr>
        <b/>
        <sz val="18"/>
        <color rgb="FFFFFFFF"/>
        <rFont val="等线"/>
        <charset val="134"/>
        <scheme val="minor"/>
      </rPr>
      <t xml:space="preserve">短视频复用（跟4.11一样）
</t>
    </r>
    <r>
      <rPr>
        <sz val="10"/>
        <rFont val="宋体"/>
        <charset val="134"/>
      </rPr>
      <t xml:space="preserve">不需要剪辑
</t>
    </r>
    <r>
      <rPr>
        <sz val="10"/>
        <rFont val="宋体"/>
        <charset val="134"/>
      </rPr>
      <t xml:space="preserve">开播时间：晚上19:00
</t>
    </r>
    <r>
      <rPr>
        <sz val="10"/>
        <rFont val="宋体"/>
        <charset val="134"/>
      </rPr>
      <t>预约链接：</t>
    </r>
    <r>
      <rPr>
        <b/>
        <u/>
        <sz val="18"/>
        <color theme="10"/>
        <rFont val="Calibri"/>
        <charset val="134"/>
      </rPr>
      <t>https://s.xingqudao.net/SOYeXQFp</t>
    </r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</si>
  <si>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2025年3月31日—2026年4月12日
</t>
    </r>
    <r>
      <rPr>
        <sz val="18"/>
        <color rgb="FF000000"/>
        <rFont val="Calibri"/>
        <charset val="134"/>
      </rPr>
      <t xml:space="preserve">唱歌（354628）
</t>
    </r>
    <r>
      <rPr>
        <b/>
        <sz val="18"/>
        <color rgb="FFF54A45"/>
        <rFont val="Calibri"/>
        <charset val="134"/>
      </rPr>
      <t xml:space="preserve">2023年1月—2026年4月5日
</t>
    </r>
    <r>
      <rPr>
        <sz val="18"/>
        <color rgb="FF000000"/>
        <rFont val="Calibri"/>
        <charset val="134"/>
      </rPr>
      <t>手机摄影SA(136342)</t>
    </r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</si>
  <si>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2023年1月—2026年4月12日
</t>
    </r>
    <r>
      <rPr>
        <sz val="18"/>
        <color rgb="FF000000"/>
        <rFont val="Calibri"/>
        <charset val="134"/>
      </rPr>
      <t xml:space="preserve">五禽戏（126712）
</t>
    </r>
    <r>
      <rPr>
        <b/>
        <sz val="18"/>
        <color rgb="FFF54A45"/>
        <rFont val="Calibri"/>
        <charset val="134"/>
      </rPr>
      <t xml:space="preserve">2023年1月—2025年3月30日
</t>
    </r>
    <r>
      <rPr>
        <sz val="18"/>
        <color rgb="FF000000"/>
        <rFont val="Calibri"/>
        <charset val="134"/>
      </rPr>
      <t xml:space="preserve">太极SA(192332)
</t>
    </r>
    <r>
      <rPr>
        <b/>
        <sz val="18"/>
        <color rgb="FFF54A45"/>
        <rFont val="Calibri"/>
        <charset val="134"/>
      </rPr>
      <t xml:space="preserve">2023年1月—2025年3月30日
</t>
    </r>
    <r>
      <rPr>
        <sz val="18"/>
        <color rgb="FF000000"/>
        <rFont val="Calibri"/>
        <charset val="134"/>
      </rPr>
      <t>气血（115899）</t>
    </r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</si>
  <si>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2025年9月29日—2026年4月12日
</t>
    </r>
    <r>
      <rPr>
        <sz val="18"/>
        <color rgb="FF000000"/>
        <rFont val="Calibri"/>
        <charset val="134"/>
      </rPr>
      <t xml:space="preserve">手机摄影BCD(114330)
</t>
    </r>
    <r>
      <rPr>
        <b/>
        <sz val="18"/>
        <color rgb="FFF54A45"/>
        <rFont val="Calibri"/>
        <charset val="134"/>
      </rPr>
      <t xml:space="preserve">2023年1月—2025年3月30日
</t>
    </r>
    <r>
      <rPr>
        <sz val="18"/>
        <color rgb="FF000000"/>
        <rFont val="Calibri"/>
        <charset val="134"/>
      </rPr>
      <t>唱歌（115129）</t>
    </r>
  </si>
  <si>
    <t>4.25短视频【复用4.11】</t>
  </si>
  <si>
    <t>【私域】-短视频-千聊内部-兴趣组-兴趣直播-购物车-4.25播</t>
  </si>
  <si>
    <t>【私域】-短视频-千聊内部-兴趣组-兴趣直播-直播弹幕-4.25播</t>
  </si>
  <si>
    <t>渠道名称</t>
  </si>
  <si>
    <t>跳转短链接</t>
  </si>
  <si>
    <t>跳转链接</t>
  </si>
  <si>
    <t>免费-短视频-千聊内部-矩阵私域-李慧-朋友圈-兴趣组-兴趣直播-20260419</t>
  </si>
  <si>
    <r>
      <rPr>
        <u/>
        <sz val="12"/>
        <color theme="10"/>
        <rFont val="Calibri"/>
        <charset val="134"/>
      </rPr>
      <t>https://s.xingqudao.net/SOYeWQYL</t>
    </r>
  </si>
  <si>
    <t>210500_14218930_financing</t>
  </si>
  <si>
    <r>
      <rPr>
        <u/>
        <sz val="12"/>
        <color theme="10"/>
        <rFont val="Calibri"/>
        <charset val="134"/>
      </rPr>
      <t>https://t1.nicegoods.cn/financial/experience-plan-sku?launchId=125519847847&amp;wcl=210500_14218930_financing</t>
    </r>
  </si>
  <si>
    <t>免费-短视频-千聊内部-矩阵私域-李慧-1v1-兴趣组-购物车链接-20260419</t>
  </si>
  <si>
    <r>
      <rPr>
        <u/>
        <sz val="12"/>
        <color theme="10"/>
        <rFont val="Calibri"/>
        <charset val="134"/>
      </rPr>
      <t>https://s.xingqudao.net/SOYeWQYM</t>
    </r>
  </si>
  <si>
    <t>210500_14218931_financing</t>
  </si>
  <si>
    <r>
      <rPr>
        <u/>
        <sz val="12"/>
        <color theme="10"/>
        <rFont val="Calibri"/>
        <charset val="134"/>
      </rPr>
      <t>https://t1.nicegoods.cn/financial/experience-plan-sku?launchId=125524116633&amp;wcl=210500_14218931_financing</t>
    </r>
  </si>
  <si>
    <t>免费-短视频-千聊内部-矩阵私域-李慧-1v1-兴趣组-直播弹幕渠道-20260419</t>
  </si>
  <si>
    <r>
      <rPr>
        <u/>
        <sz val="12"/>
        <color theme="10"/>
        <rFont val="Calibri"/>
        <charset val="134"/>
      </rPr>
      <t>https://s.xingqudao.net/SOYeWQYN</t>
    </r>
  </si>
  <si>
    <t>210500_14218932_financing</t>
  </si>
  <si>
    <r>
      <rPr>
        <u/>
        <sz val="12"/>
        <color theme="10"/>
        <rFont val="Calibri"/>
        <charset val="134"/>
      </rPr>
      <t>https://t1.nicegoods.cn/financial/experience-plan-sku?launchId=125519847847&amp;wcl=210500_14218932_financing</t>
    </r>
  </si>
  <si>
    <t>免费-短视频-千聊内部-矩阵私域-李慧-社群-兴趣组-兴趣直播-20260419</t>
  </si>
  <si>
    <r>
      <rPr>
        <u/>
        <sz val="12"/>
        <color theme="10"/>
        <rFont val="Calibri"/>
        <charset val="134"/>
      </rPr>
      <t>https://s.xingqudao.net/SOYeWQYH</t>
    </r>
  </si>
  <si>
    <t>210500_14218928_financing</t>
  </si>
  <si>
    <r>
      <rPr>
        <u/>
        <sz val="12"/>
        <color theme="10"/>
        <rFont val="Calibri"/>
        <charset val="134"/>
      </rPr>
      <t>https://t1.nicegoods.cn/financial/experience-plan-sku?launchId=125519847847&amp;wcl=210500_14218928_financing</t>
    </r>
  </si>
  <si>
    <t>免费-短视频-千聊内部-矩阵私域-李慧-1v1-兴趣组-兴趣直播-20260419</t>
  </si>
  <si>
    <r>
      <rPr>
        <u/>
        <sz val="12"/>
        <color theme="10"/>
        <rFont val="Calibri"/>
        <charset val="134"/>
      </rPr>
      <t>https://s.xingqudao.net/SOYeWQYK</t>
    </r>
  </si>
  <si>
    <t>210500_14218929_financing</t>
  </si>
  <si>
    <r>
      <rPr>
        <u/>
        <sz val="12"/>
        <color theme="10"/>
        <rFont val="Calibri"/>
        <charset val="134"/>
      </rPr>
      <t>https://t1.nicegoods.cn/financial/experience-plan-sku?launchId=125519847847&amp;wcl=210500_14218929_financing</t>
    </r>
  </si>
  <si>
    <t>4.23逆龄女神瑜伽</t>
  </si>
  <si>
    <t>逆龄女神瑜伽（购物车链接）125619848961</t>
  </si>
  <si>
    <t>【私域】-千聊内部-逆龄女神瑜伽-0元-4/23晚间健康变美直播-购物车专属</t>
  </si>
  <si>
    <r>
      <rPr>
        <u/>
        <sz val="13.5"/>
        <color theme="10"/>
        <rFont val="Calibri"/>
        <charset val="134"/>
      </rPr>
      <t>https://t1.nicegoods.cn/financial/experience-plan-sku?launchId=125619848961</t>
    </r>
  </si>
  <si>
    <t>逆龄女神瑜伽（社群专属）125619849150</t>
  </si>
  <si>
    <t>【私域】-千聊内部-逆龄女神瑜伽-0元-4/23晚间健康变美直播-社群专属</t>
  </si>
  <si>
    <r>
      <rPr>
        <u/>
        <sz val="13.5"/>
        <color theme="10"/>
        <rFont val="Calibri"/>
        <charset val="134"/>
      </rPr>
      <t>https://t1.nicegoods.cn/financial/experience-plan-sku?launchId=125619849150</t>
    </r>
  </si>
  <si>
    <t>变美组</t>
  </si>
  <si>
    <t>免费-逆龄女神瑜伽-千聊内部-矩阵私域-刘芳-1V1-变美组-健康变美直播-20260420</t>
  </si>
  <si>
    <t>210500_14219328_financing</t>
  </si>
  <si>
    <r>
      <rPr>
        <u/>
        <sz val="12"/>
        <color theme="10"/>
        <rFont val="Calibri"/>
        <charset val="134"/>
      </rPr>
      <t>https://t1.nicegoods.cn/financial/experience-plan-sku?launchId=125619849150&amp;wcl=210500_14219328_financing</t>
    </r>
  </si>
  <si>
    <r>
      <rPr>
        <u/>
        <sz val="12"/>
        <color theme="10"/>
        <rFont val="Calibri"/>
        <charset val="134"/>
      </rPr>
      <t>https://s.xingqudao.net/SOYeWgeb</t>
    </r>
  </si>
  <si>
    <t>免费-逆龄女神瑜伽-千聊内部-矩阵私域-刘芳-朋友圈-变美组-健康变美直播-20260420</t>
  </si>
  <si>
    <t>210500_14219329_financing</t>
  </si>
  <si>
    <r>
      <rPr>
        <u/>
        <sz val="12"/>
        <color theme="10"/>
        <rFont val="Calibri"/>
        <charset val="134"/>
      </rPr>
      <t>https://t1.nicegoods.cn/financial/experience-plan-sku?launchId=125619849150&amp;wcl=210500_14219329_financing</t>
    </r>
  </si>
  <si>
    <r>
      <rPr>
        <u/>
        <sz val="12"/>
        <color theme="10"/>
        <rFont val="Calibri"/>
        <charset val="134"/>
      </rPr>
      <t>https://s.xingqudao.net/SOYeWgec</t>
    </r>
  </si>
  <si>
    <t>免费-逆龄女神瑜伽-千聊内部-矩阵私域-刘芳-社群-变美组-健康变美直播-20260420</t>
  </si>
  <si>
    <t>210500_14219330_financing</t>
  </si>
  <si>
    <r>
      <rPr>
        <u/>
        <sz val="12"/>
        <color theme="10"/>
        <rFont val="Calibri"/>
        <charset val="134"/>
      </rPr>
      <t>https://t1.nicegoods.cn/financial/experience-plan-sku?launchId=125619849150&amp;wcl=210500_14219330_financing</t>
    </r>
  </si>
  <si>
    <r>
      <rPr>
        <u/>
        <sz val="12"/>
        <color theme="10"/>
        <rFont val="Calibri"/>
        <charset val="134"/>
      </rPr>
      <t>https://s.xingqudao.net/SOYeWged</t>
    </r>
  </si>
  <si>
    <t>免费-逆龄女神瑜伽-千聊内部-矩阵私域-刘芳-1V1-变美组-健康变美直播-购物车链接-20260420</t>
  </si>
  <si>
    <t>210500_14219326_financing</t>
  </si>
  <si>
    <r>
      <rPr>
        <u/>
        <sz val="12"/>
        <color theme="10"/>
        <rFont val="Calibri"/>
        <charset val="134"/>
      </rPr>
      <t>https://t1.nicegoods.cn/financial/experience-plan-sku?launchId=125619848961&amp;wcl=210500_14219326_financing</t>
    </r>
  </si>
  <si>
    <r>
      <rPr>
        <u/>
        <sz val="12"/>
        <color theme="10"/>
        <rFont val="Calibri"/>
        <charset val="134"/>
      </rPr>
      <t>https://s.xingqudao.net/SOYeWgeY</t>
    </r>
  </si>
  <si>
    <t>免费-逆龄女神瑜伽-千聊内部-矩阵私域-刘芳-1V1-变美组-健康变美直播-弹幕链接-20260420</t>
  </si>
  <si>
    <t>210500_14219327_financing</t>
  </si>
  <si>
    <r>
      <rPr>
        <u/>
        <sz val="12"/>
        <color theme="10"/>
        <rFont val="Calibri"/>
        <charset val="134"/>
      </rPr>
      <t>https://t1.nicegoods.cn/financial/experience-plan-sku?launchId=125619849150&amp;wcl=210500_14219327_financing</t>
    </r>
  </si>
  <si>
    <r>
      <rPr>
        <u/>
        <sz val="12"/>
        <color theme="10"/>
        <rFont val="Calibri"/>
        <charset val="134"/>
      </rPr>
      <t>https://s.xingqudao.net/SOYeWgeZ</t>
    </r>
  </si>
  <si>
    <t>4.24一杰瑜伽</t>
  </si>
  <si>
    <t>一杰瑜伽（购物车链接）125617470183</t>
  </si>
  <si>
    <t>【私域】一杰瑜伽-千聊内部-0元-4/24晚间健康变美直播-购物车</t>
  </si>
  <si>
    <r>
      <rPr>
        <u/>
        <sz val="13.5"/>
        <color theme="10"/>
        <rFont val="Calibri"/>
        <charset val="134"/>
      </rPr>
      <t>https://t1.nicegoods.cn/financial/experience-plan-sku?launchId=125617470183</t>
    </r>
  </si>
  <si>
    <t>一杰瑜伽（社群专属）125618255657</t>
  </si>
  <si>
    <t>【私域】一杰瑜伽-千聊内部-0元-4/24晚间健康变美直播-弹幕</t>
  </si>
  <si>
    <r>
      <rPr>
        <u/>
        <sz val="13.5"/>
        <color theme="10"/>
        <rFont val="Calibri"/>
        <charset val="134"/>
      </rPr>
      <t>https://t1.nicegoods.cn/financial/experience-plan-sku?launchId=125618255657</t>
    </r>
  </si>
  <si>
    <t>免费-一杰瑜伽-千聊内部-矩阵私域-刘芳-社群-变美组-健康变美直播-20260420</t>
  </si>
  <si>
    <t>210500_14219335_financing</t>
  </si>
  <si>
    <r>
      <rPr>
        <u/>
        <sz val="12"/>
        <color theme="10"/>
        <rFont val="Calibri"/>
        <charset val="134"/>
      </rPr>
      <t>https://t1.nicegoods.cn/financial/experience-plan-sku?launchId=125618255657&amp;wcl=210500_14219335_financing</t>
    </r>
  </si>
  <si>
    <r>
      <rPr>
        <u/>
        <sz val="12"/>
        <color theme="10"/>
        <rFont val="Calibri"/>
        <charset val="134"/>
      </rPr>
      <t>https://s.xingqudao.net/SOYeWgej</t>
    </r>
  </si>
  <si>
    <t>免费-一杰瑜伽-千聊内部-矩阵私域-刘芳-1V1-变美组-健康变美直播-20260420</t>
  </si>
  <si>
    <t>210500_14219333_financing</t>
  </si>
  <si>
    <r>
      <rPr>
        <u/>
        <sz val="12"/>
        <color theme="10"/>
        <rFont val="Calibri"/>
        <charset val="134"/>
      </rPr>
      <t>https://t1.nicegoods.cn/financial/experience-plan-sku?launchId=125618255657&amp;wcl=210500_14219333_financing</t>
    </r>
  </si>
  <si>
    <r>
      <rPr>
        <u/>
        <sz val="12"/>
        <color theme="10"/>
        <rFont val="Calibri"/>
        <charset val="134"/>
      </rPr>
      <t>https://s.xingqudao.net/SOYeWgeh</t>
    </r>
  </si>
  <si>
    <t>免费-一杰瑜伽-千聊内部-矩阵私域-刘芳-朋友圈-变美组-健康变美直播-20260420</t>
  </si>
  <si>
    <t>210500_14219334_financing</t>
  </si>
  <si>
    <r>
      <rPr>
        <u/>
        <sz val="12"/>
        <color theme="10"/>
        <rFont val="Calibri"/>
        <charset val="134"/>
      </rPr>
      <t>https://t1.nicegoods.cn/financial/experience-plan-sku?launchId=125618255657&amp;wcl=210500_14219334_financing</t>
    </r>
  </si>
  <si>
    <r>
      <rPr>
        <u/>
        <sz val="12"/>
        <color theme="10"/>
        <rFont val="Calibri"/>
        <charset val="134"/>
      </rPr>
      <t>https://s.xingqudao.net/SOYeWgei</t>
    </r>
  </si>
  <si>
    <t>免费-一杰瑜伽-千聊内部-矩阵私域-刘芳-1V1-变美组-健康变美直播-购物车链接-20260420</t>
  </si>
  <si>
    <t>210500_14219331_financing</t>
  </si>
  <si>
    <r>
      <rPr>
        <u/>
        <sz val="12"/>
        <color theme="10"/>
        <rFont val="Calibri"/>
        <charset val="134"/>
      </rPr>
      <t>https://t1.nicegoods.cn/financial/experience-plan-sku?launchId=125617470183&amp;wcl=210500_14219331_financing</t>
    </r>
  </si>
  <si>
    <r>
      <rPr>
        <u/>
        <sz val="12"/>
        <color theme="10"/>
        <rFont val="Calibri"/>
        <charset val="134"/>
      </rPr>
      <t>https://s.xingqudao.net/SOYeWgee</t>
    </r>
  </si>
  <si>
    <t>免费-一杰瑜伽-千聊内部-矩阵私域-刘芳-1V1-变美组-健康变美直播-弹幕链接-20260420</t>
  </si>
  <si>
    <t>210500_14219332_financing</t>
  </si>
  <si>
    <r>
      <rPr>
        <u/>
        <sz val="12"/>
        <color theme="10"/>
        <rFont val="Calibri"/>
        <charset val="134"/>
      </rPr>
      <t>https://t1.nicegoods.cn/financial/experience-plan-sku?launchId=125618255657&amp;wcl=210500_14219332_financing</t>
    </r>
  </si>
  <si>
    <r>
      <rPr>
        <u/>
        <sz val="12"/>
        <color theme="10"/>
        <rFont val="Calibri"/>
        <charset val="134"/>
      </rPr>
      <t>https://s.xingqudao.net/SOYeWgef</t>
    </r>
  </si>
  <si>
    <t>4.25收纳</t>
  </si>
  <si>
    <t>美学收纳（购物车链接）125617475338</t>
  </si>
  <si>
    <t>【私域】-千聊内部-美学收纳-卞栎淳-0元-健康变美直播-购物车链接副本</t>
  </si>
  <si>
    <r>
      <rPr>
        <u/>
        <sz val="13.5"/>
        <color theme="10"/>
        <rFont val="Calibri"/>
        <charset val="134"/>
      </rPr>
      <t>https://t1.nicegoods.cn/financial/experience-plan-sku?launchId=125617475338</t>
    </r>
  </si>
  <si>
    <t>美学收纳 （社群专属）125619137329</t>
  </si>
  <si>
    <t>【私域】-千聊内部-美学收纳-卞栎淳-0元-健康变美直播-直播弹幕副本</t>
  </si>
  <si>
    <r>
      <rPr>
        <u/>
        <sz val="13.5"/>
        <color theme="10"/>
        <rFont val="Calibri"/>
        <charset val="134"/>
      </rPr>
      <t>https://t1.nicegoods.cn/financial/experience-plan-sku?launchId=125619137329</t>
    </r>
  </si>
  <si>
    <t>免费-美学收纳-千聊内部-矩阵私域-刘芳-1V1-变美组-健康变美直播-20260420</t>
  </si>
  <si>
    <t>210500_14219338_financing</t>
  </si>
  <si>
    <r>
      <rPr>
        <u/>
        <sz val="12"/>
        <color theme="10"/>
        <rFont val="Calibri"/>
        <charset val="134"/>
      </rPr>
      <t>https://t1.nicegoods.cn/financial/experience-plan-sku?launchId=125619137329&amp;wcl=210500_14219338_financing</t>
    </r>
  </si>
  <si>
    <r>
      <rPr>
        <u/>
        <sz val="12"/>
        <color theme="10"/>
        <rFont val="Calibri"/>
        <charset val="134"/>
      </rPr>
      <t>https://s.xingqudao.net/SOYeWgem</t>
    </r>
  </si>
  <si>
    <t>免费-美学收纳-千聊内部-矩阵私域-刘芳-朋友圈-变美组-健康变美直播-20260420</t>
  </si>
  <si>
    <t>210500_14219339_financing</t>
  </si>
  <si>
    <r>
      <rPr>
        <u/>
        <sz val="12"/>
        <color theme="10"/>
        <rFont val="Calibri"/>
        <charset val="134"/>
      </rPr>
      <t>https://t1.nicegoods.cn/financial/experience-plan-sku?launchId=125619137329&amp;wcl=210500_14219339_financing</t>
    </r>
  </si>
  <si>
    <r>
      <rPr>
        <u/>
        <sz val="12"/>
        <color theme="10"/>
        <rFont val="Calibri"/>
        <charset val="134"/>
      </rPr>
      <t>https://s.xingqudao.net/SOYeWgeo</t>
    </r>
  </si>
  <si>
    <t>免费-美学收纳-千聊内部-矩阵私域-刘芳-社群-变美组-健康变美直播-20260420</t>
  </si>
  <si>
    <t>210500_14219340_financing</t>
  </si>
  <si>
    <r>
      <rPr>
        <u/>
        <sz val="12"/>
        <color theme="10"/>
        <rFont val="Calibri"/>
        <charset val="134"/>
      </rPr>
      <t>https://t1.nicegoods.cn/financial/experience-plan-sku?launchId=125619137329&amp;wcl=210500_14219340_financing</t>
    </r>
  </si>
  <si>
    <r>
      <rPr>
        <u/>
        <sz val="12"/>
        <color theme="10"/>
        <rFont val="Calibri"/>
        <charset val="134"/>
      </rPr>
      <t>https://s.xingqudao.net/SOYeWgep</t>
    </r>
  </si>
  <si>
    <t>免费-美学收纳-千聊内部-矩阵私域-刘芳-1V1-变美组-健康变美直播-购物车链接-20260420</t>
  </si>
  <si>
    <t>210500_14219336_financing</t>
  </si>
  <si>
    <r>
      <rPr>
        <u/>
        <sz val="12"/>
        <color theme="10"/>
        <rFont val="Calibri"/>
        <charset val="134"/>
      </rPr>
      <t>https://t1.nicegoods.cn/financial/experience-plan-sku?launchId=125617475338&amp;wcl=210500_14219336_financing</t>
    </r>
  </si>
  <si>
    <r>
      <rPr>
        <u/>
        <sz val="12"/>
        <color theme="10"/>
        <rFont val="Calibri"/>
        <charset val="134"/>
      </rPr>
      <t>https://s.xingqudao.net/SOYeWgek</t>
    </r>
  </si>
  <si>
    <t>免费-美学收纳-千聊内部-矩阵私域-刘芳-1V1-变美组-健康变美直播-弹幕链接-20260420</t>
  </si>
  <si>
    <t>210500_14219337_financing</t>
  </si>
  <si>
    <r>
      <rPr>
        <u/>
        <sz val="12"/>
        <color theme="10"/>
        <rFont val="Calibri"/>
        <charset val="134"/>
      </rPr>
      <t>https://t1.nicegoods.cn/financial/experience-plan-sku?launchId=125619137329&amp;wcl=210500_14219337_financing</t>
    </r>
  </si>
  <si>
    <r>
      <rPr>
        <u/>
        <sz val="12"/>
        <color theme="10"/>
        <rFont val="Calibri"/>
        <charset val="134"/>
      </rPr>
      <t>https://s.xingqudao.net/SOYeWgel</t>
    </r>
  </si>
  <si>
    <t>4.23国际声乐</t>
  </si>
  <si>
    <r>
      <rPr>
        <sz val="11"/>
        <color rgb="FF1F2329"/>
        <rFont val="等线"/>
        <charset val="134"/>
        <scheme val="minor"/>
      </rPr>
      <t>国际声乐（购物车链接）</t>
    </r>
    <r>
      <rPr>
        <u/>
        <sz val="10.5"/>
        <color theme="10"/>
        <rFont val="Calibri"/>
        <charset val="134"/>
      </rPr>
      <t>125632140734</t>
    </r>
  </si>
  <si>
    <t>【私域】-国际声乐-千聊内部-0元-兴趣组-兴趣直播-购物车【4.23直播】</t>
  </si>
  <si>
    <r>
      <rPr>
        <u/>
        <sz val="13.5"/>
        <color theme="10"/>
        <rFont val="Calibri"/>
        <charset val="134"/>
      </rPr>
      <t>https://t1.nicegoods.cn/financial/experience-plan-sku?launchId=125632140734</t>
    </r>
  </si>
  <si>
    <r>
      <rPr>
        <sz val="11"/>
        <color rgb="FF1F2329"/>
        <rFont val="等线"/>
        <charset val="134"/>
        <scheme val="minor"/>
      </rPr>
      <t>国际声乐（弹幕专属）</t>
    </r>
    <r>
      <rPr>
        <u/>
        <sz val="10.5"/>
        <color theme="10"/>
        <rFont val="Calibri"/>
        <charset val="134"/>
      </rPr>
      <t>125633308846</t>
    </r>
  </si>
  <si>
    <t>【私域】-国际声乐-千聊内部-0元-兴趣组-兴趣直播-直播弹幕【4.23直播】</t>
  </si>
  <si>
    <r>
      <rPr>
        <u/>
        <sz val="13.5"/>
        <color theme="10"/>
        <rFont val="Calibri"/>
        <charset val="134"/>
      </rPr>
      <t>https://t1.nicegoods.cn/financial/experience-plan-sku?launchId=125633308846</t>
    </r>
  </si>
  <si>
    <t>免费-国际声乐-千聊内部-矩阵私域-陈恩平-1v1-兴趣组-兴趣直播-20260420</t>
  </si>
  <si>
    <t>210500_14220403_financing</t>
  </si>
  <si>
    <r>
      <rPr>
        <u/>
        <sz val="12"/>
        <color theme="10"/>
        <rFont val="Calibri"/>
        <charset val="134"/>
      </rPr>
      <t>https://t1.nicegoods.cn/financial/experience-plan-sku?launchId=125633308846&amp;wcl=210500_14220403_financing</t>
    </r>
  </si>
  <si>
    <r>
      <rPr>
        <u/>
        <sz val="12"/>
        <color theme="10"/>
        <rFont val="Calibri"/>
        <charset val="134"/>
      </rPr>
      <t>https://s.xingqudao.net/SOYeWj3D</t>
    </r>
  </si>
  <si>
    <t>免费-国际声乐-千聊内部-矩阵私域-陈恩平-朋友圈-兴趣组-兴趣直播-20260420</t>
  </si>
  <si>
    <t>210500_14220404_financing</t>
  </si>
  <si>
    <r>
      <rPr>
        <u/>
        <sz val="12"/>
        <color theme="10"/>
        <rFont val="Calibri"/>
        <charset val="134"/>
      </rPr>
      <t>https://t1.nicegoods.cn/financial/experience-plan-sku?launchId=125633308846&amp;wcl=210500_14220404_financing</t>
    </r>
  </si>
  <si>
    <r>
      <rPr>
        <u/>
        <sz val="12"/>
        <color theme="10"/>
        <rFont val="Calibri"/>
        <charset val="134"/>
      </rPr>
      <t>https://s.xingqudao.net/SOYeWj3E</t>
    </r>
  </si>
  <si>
    <t>免费-国际声乐-千聊内部-矩阵私域-陈恩平-社群-兴趣组-兴趣直播-20260420</t>
  </si>
  <si>
    <t>210500_14220402_financing</t>
  </si>
  <si>
    <r>
      <rPr>
        <u/>
        <sz val="12"/>
        <color theme="10"/>
        <rFont val="Calibri"/>
        <charset val="134"/>
      </rPr>
      <t>https://t1.nicegoods.cn/financial/experience-plan-sku?launchId=125633308846&amp;wcl=210500_14220402_financing</t>
    </r>
  </si>
  <si>
    <r>
      <rPr>
        <u/>
        <sz val="12"/>
        <color theme="10"/>
        <rFont val="Calibri"/>
        <charset val="134"/>
      </rPr>
      <t>https://s.xingqudao.net/SOYeWj3C</t>
    </r>
  </si>
  <si>
    <t>免费-国际声乐-千聊内部-矩阵私域-陈恩平-1v1-兴趣组-购物车链接-20260420</t>
  </si>
  <si>
    <t>210500_14220405_financing</t>
  </si>
  <si>
    <r>
      <rPr>
        <u/>
        <sz val="12"/>
        <color theme="10"/>
        <rFont val="Calibri"/>
        <charset val="134"/>
      </rPr>
      <t>https://t1.nicegoods.cn/financial/experience-plan-sku?launchId=125632140734&amp;wcl=210500_14220405_financing</t>
    </r>
  </si>
  <si>
    <r>
      <rPr>
        <u/>
        <sz val="12"/>
        <color theme="10"/>
        <rFont val="Calibri"/>
        <charset val="134"/>
      </rPr>
      <t>https://s.xingqudao.net/SOYeWj3F</t>
    </r>
  </si>
  <si>
    <t>免费-国际声乐-千聊内部-矩阵私域-陈恩平-1v1-兴趣组-直播弹幕-20260420</t>
  </si>
  <si>
    <t>210500_14220406_financing</t>
  </si>
  <si>
    <r>
      <rPr>
        <u/>
        <sz val="12"/>
        <color theme="10"/>
        <rFont val="Calibri"/>
        <charset val="134"/>
      </rPr>
      <t>https://t1.nicegoods.cn/financial/experience-plan-sku?launchId=125633308846&amp;wcl=210500_14220406_financing</t>
    </r>
  </si>
  <si>
    <r>
      <rPr>
        <u/>
        <sz val="12"/>
        <color theme="10"/>
        <rFont val="Calibri"/>
        <charset val="134"/>
      </rPr>
      <t>https://s.xingqudao.net/SOYeWj3G</t>
    </r>
  </si>
  <si>
    <t>4.24</t>
  </si>
  <si>
    <t>健康营养（购物车链接）125658102272</t>
  </si>
  <si>
    <t>https://t1.nicegoods.cn/financial/experience-plan-sku?launchId=125658102272</t>
  </si>
  <si>
    <t>健康营养（社群专属）125652162296</t>
  </si>
  <si>
    <t>https://t1.nicegoods.cn/financial/experience-plan-sku?launchId=125652162296</t>
  </si>
  <si>
    <t>免费-健康营养-千聊内部-矩阵私域-莫静雯-1v1-健康组-节气养正直播-20260420</t>
  </si>
  <si>
    <t>210500_14220745_financing</t>
  </si>
  <si>
    <r>
      <rPr>
        <u/>
        <sz val="12"/>
        <color theme="10"/>
        <rFont val="Calibri"/>
        <charset val="134"/>
      </rPr>
      <t>https://t1.nicegoods.cn/financial/experience-plan-sku?launchId=125652162296&amp;wcl=210500_14220745_financing</t>
    </r>
  </si>
  <si>
    <r>
      <rPr>
        <u/>
        <sz val="12"/>
        <color theme="10"/>
        <rFont val="Calibri"/>
        <charset val="134"/>
      </rPr>
      <t>https://s.xingqudao.net/SOYeWlOz</t>
    </r>
  </si>
  <si>
    <t>免费-健康营养-千聊内部-矩阵私域-莫静雯-社群-健康组-节气养正直播-20260420</t>
  </si>
  <si>
    <t>210500_14220746_financing</t>
  </si>
  <si>
    <r>
      <rPr>
        <u/>
        <sz val="12"/>
        <color theme="10"/>
        <rFont val="Calibri"/>
        <charset val="134"/>
      </rPr>
      <t>https://t1.nicegoods.cn/financial/experience-plan-sku?launchId=125652162296&amp;wcl=210500_14220746_financing</t>
    </r>
  </si>
  <si>
    <r>
      <rPr>
        <u/>
        <sz val="12"/>
        <color theme="10"/>
        <rFont val="Calibri"/>
        <charset val="134"/>
      </rPr>
      <t>https://s.xingqudao.net/SOYeWlP0</t>
    </r>
  </si>
  <si>
    <t>免费-健康营养-千聊内部-矩阵私域-莫静雯-朋友圈-健康组-节气养正直播-20260420</t>
  </si>
  <si>
    <t>210500_14220747_financing</t>
  </si>
  <si>
    <r>
      <rPr>
        <u/>
        <sz val="12"/>
        <color theme="10"/>
        <rFont val="Calibri"/>
        <charset val="134"/>
      </rPr>
      <t>https://t1.nicegoods.cn/financial/experience-plan-sku?launchId=125652162296&amp;wcl=210500_14220747_financing</t>
    </r>
  </si>
  <si>
    <r>
      <rPr>
        <u/>
        <sz val="12"/>
        <color theme="10"/>
        <rFont val="Calibri"/>
        <charset val="134"/>
      </rPr>
      <t>https://s.xingqudao.net/SOYeWlP1</t>
    </r>
  </si>
  <si>
    <t>免费-健康营养-千聊内部-矩阵私域-莫静雯-1v1-健康组-节气养正直播-购物车链接-20260420</t>
  </si>
  <si>
    <t>210500_14220748_financing</t>
  </si>
  <si>
    <r>
      <rPr>
        <u/>
        <sz val="12"/>
        <color theme="10"/>
        <rFont val="Calibri"/>
        <charset val="134"/>
      </rPr>
      <t>https://t1.nicegoods.cn/financial/experience-plan-sku?launchId=125658102272&amp;wcl=210500_14220748_financing</t>
    </r>
  </si>
  <si>
    <r>
      <rPr>
        <u/>
        <sz val="12"/>
        <color theme="10"/>
        <rFont val="Calibri"/>
        <charset val="134"/>
      </rPr>
      <t>https://s.xingqudao.net/SOYeWlP2</t>
    </r>
  </si>
  <si>
    <t>睡眠调理晨练
7:00-8:30
东方养正瑜伽晨练
8:30-10:00</t>
  </si>
  <si>
    <t xml:space="preserve">
逆龄女神瑜伽晨练
7:00-9：00
</t>
  </si>
  <si>
    <t>普拉提晨练
7:00-8:30
一杰瑜伽晨练
8:30-10:00</t>
  </si>
  <si>
    <r>
      <rPr>
        <b/>
        <sz val="18"/>
        <color rgb="FFFFFFFF"/>
        <rFont val="等线"/>
        <charset val="134"/>
        <scheme val="minor"/>
      </rPr>
      <t xml:space="preserve">【伪直播复用】
</t>
    </r>
    <r>
      <rPr>
        <sz val="10"/>
        <rFont val="宋体"/>
        <charset val="134"/>
      </rPr>
      <t xml:space="preserve">一杰瑜伽3.24
</t>
    </r>
    <r>
      <rPr>
        <sz val="10"/>
        <rFont val="宋体"/>
        <charset val="134"/>
      </rPr>
      <t>预约链接：</t>
    </r>
    <r>
      <rPr>
        <b/>
        <u/>
        <sz val="18"/>
        <color theme="10"/>
        <rFont val="Calibri"/>
        <charset val="134"/>
      </rPr>
      <t>https://s.xingqudao.net/SOYeUV9r</t>
    </r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</si>
  <si>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2023年1月—2025年9月21日
</t>
    </r>
    <r>
      <rPr>
        <sz val="18"/>
        <color rgb="FF000000"/>
        <rFont val="Calibri"/>
        <charset val="134"/>
      </rPr>
      <t>太极SA(279635)</t>
    </r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</si>
  <si>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2025年3月24日—2026年4月5日
</t>
    </r>
    <r>
      <rPr>
        <sz val="18"/>
        <color rgb="FF000000"/>
        <rFont val="Calibri"/>
        <charset val="134"/>
      </rPr>
      <t>太极BCD(420114)</t>
    </r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</si>
  <si>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2023年1月—2025年9月21日
</t>
    </r>
    <r>
      <rPr>
        <sz val="18"/>
        <color rgb="FF000000"/>
        <rFont val="Calibri"/>
        <charset val="134"/>
      </rPr>
      <t>瑜伽SA(207987)</t>
    </r>
  </si>
  <si>
    <r>
      <rPr>
        <b/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2023年1月—2026年4月5日
</t>
    </r>
    <r>
      <rPr>
        <b/>
        <sz val="18"/>
        <color rgb="FF000000"/>
        <rFont val="Calibri"/>
        <charset val="134"/>
      </rPr>
      <t>瑜伽BCD(354150)</t>
    </r>
  </si>
  <si>
    <r>
      <rPr>
        <b/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2023年1月—2026年4月5日
</t>
    </r>
    <r>
      <rPr>
        <b/>
        <sz val="18"/>
        <color rgb="FF000000"/>
        <rFont val="Calibri"/>
        <charset val="134"/>
      </rPr>
      <t xml:space="preserve">东方养正瑜伽（115542）
</t>
    </r>
    <r>
      <rPr>
        <b/>
        <sz val="18"/>
        <color rgb="FFF54A45"/>
        <rFont val="Calibri"/>
        <charset val="134"/>
      </rPr>
      <t xml:space="preserve">2025年9月22日—2026年4月5日
</t>
    </r>
    <r>
      <rPr>
        <b/>
        <sz val="18"/>
        <color rgb="FF000000"/>
        <rFont val="Calibri"/>
        <charset val="134"/>
      </rPr>
      <t xml:space="preserve">中医变美（77422）
</t>
    </r>
    <r>
      <rPr>
        <b/>
        <sz val="18"/>
        <color rgb="FFF54A45"/>
        <rFont val="Calibri"/>
        <charset val="134"/>
      </rPr>
      <t xml:space="preserve">2026年1月1日—2026年4月5日
</t>
    </r>
    <r>
      <rPr>
        <b/>
        <sz val="18"/>
        <color rgb="FF000000"/>
        <rFont val="Calibri"/>
        <charset val="134"/>
      </rPr>
      <t xml:space="preserve">面部驻颜瑜伽（18006）
</t>
    </r>
    <r>
      <rPr>
        <b/>
        <sz val="18"/>
        <color rgb="FFF54A45"/>
        <rFont val="Calibri"/>
        <charset val="134"/>
      </rPr>
      <t xml:space="preserve">2025年9月22日—2026年4月5日
</t>
    </r>
    <r>
      <rPr>
        <b/>
        <sz val="18"/>
        <color rgb="FF000000"/>
        <rFont val="Calibri"/>
        <charset val="134"/>
      </rPr>
      <t>瑜伽SA(142776)</t>
    </r>
  </si>
  <si>
    <r>
      <rPr>
        <b/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2023年1月—2025年9月21日
</t>
    </r>
    <r>
      <rPr>
        <b/>
        <sz val="18"/>
        <color rgb="FF000000"/>
        <rFont val="Calibri"/>
        <charset val="134"/>
      </rPr>
      <t>瑜伽SA(207987)</t>
    </r>
  </si>
  <si>
    <t>国画
IP测试</t>
  </si>
  <si>
    <t>手机摄影大赛（单人）</t>
  </si>
  <si>
    <t>公域朋友圈宣发资源位</t>
  </si>
  <si>
    <t>手机摄影
（博文+助教张林杰-公域）</t>
  </si>
  <si>
    <t>手机摄影
（博文单人-公域）</t>
  </si>
  <si>
    <t>摄影美学-段晓晖双人</t>
  </si>
  <si>
    <t>王溪0元（新栏目）</t>
  </si>
  <si>
    <t>风光摄影-IP耿春晖
单人暂定户外</t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</si>
  <si>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2023年1月—2026年4月5日
</t>
    </r>
    <r>
      <rPr>
        <sz val="18"/>
        <color rgb="FF000000"/>
        <rFont val="Calibri"/>
        <charset val="134"/>
      </rPr>
      <t xml:space="preserve">固气活血、睡眠（162962）
</t>
    </r>
    <r>
      <rPr>
        <b/>
        <sz val="18"/>
        <color rgb="FFF54A45"/>
        <rFont val="Calibri"/>
        <charset val="134"/>
      </rPr>
      <t xml:space="preserve">2025年9月22日—2026年4月5日
</t>
    </r>
    <r>
      <rPr>
        <sz val="18"/>
        <color rgb="FF000000"/>
        <rFont val="Calibri"/>
        <charset val="134"/>
      </rPr>
      <t xml:space="preserve">气血（72595）
</t>
    </r>
    <r>
      <rPr>
        <b/>
        <sz val="18"/>
        <color rgb="FFF54A45"/>
        <rFont val="Calibri"/>
        <charset val="134"/>
      </rPr>
      <t xml:space="preserve">2025年9月22日—2026年4月5日
</t>
    </r>
    <r>
      <rPr>
        <sz val="18"/>
        <color rgb="FF000000"/>
        <rFont val="Calibri"/>
        <charset val="134"/>
      </rPr>
      <t xml:space="preserve">太极SA(184328）
</t>
    </r>
    <r>
      <rPr>
        <b/>
        <sz val="18"/>
        <color rgb="FFF54A45"/>
        <rFont val="Calibri"/>
        <charset val="134"/>
      </rPr>
      <t xml:space="preserve">2023年1月—2025年3月23日
</t>
    </r>
    <r>
      <rPr>
        <sz val="18"/>
        <color rgb="FF000000"/>
        <rFont val="Calibri"/>
        <charset val="134"/>
      </rPr>
      <t>太极BCD(278718)</t>
    </r>
  </si>
  <si>
    <r>
      <rPr>
        <sz val="18"/>
        <color rgb="FF000000"/>
        <rFont val="Calibri"/>
        <charset val="134"/>
      </rPr>
      <t xml:space="preserve">【存量】
</t>
    </r>
    <r>
      <rPr>
        <sz val="18"/>
        <color rgb="FFF54A45"/>
        <rFont val="Calibri"/>
        <charset val="134"/>
      </rPr>
      <t xml:space="preserve">2023年1月—2026年3月29日
</t>
    </r>
    <r>
      <rPr>
        <sz val="18"/>
        <color rgb="FF000000"/>
        <rFont val="Calibri"/>
        <charset val="134"/>
      </rPr>
      <t xml:space="preserve">手机摄影（133294）
</t>
    </r>
    <r>
      <rPr>
        <sz val="18"/>
        <color rgb="FFF54A45"/>
        <rFont val="Calibri"/>
        <charset val="134"/>
      </rPr>
      <t xml:space="preserve">2025年9月22日—2026年4月5日
</t>
    </r>
    <r>
      <rPr>
        <sz val="18"/>
        <color rgb="FF000000"/>
        <rFont val="Calibri"/>
        <charset val="134"/>
      </rPr>
      <t xml:space="preserve">短视频（106769）
</t>
    </r>
    <r>
      <rPr>
        <sz val="18"/>
        <color rgb="FFF54A45"/>
        <rFont val="Calibri"/>
        <charset val="134"/>
      </rPr>
      <t xml:space="preserve">2023年1月—2025年9月21日
</t>
    </r>
    <r>
      <rPr>
        <sz val="18"/>
        <color rgb="FF000000"/>
        <rFont val="Calibri"/>
        <charset val="134"/>
      </rPr>
      <t xml:space="preserve">唱歌（245946）
</t>
    </r>
    <r>
      <rPr>
        <sz val="18"/>
        <color rgb="FFF54A45"/>
        <rFont val="Calibri"/>
        <charset val="134"/>
      </rPr>
      <t xml:space="preserve">2026年1月1日—2026年4月5日
</t>
    </r>
    <r>
      <rPr>
        <sz val="18"/>
        <color rgb="FF000000"/>
        <rFont val="Calibri"/>
        <charset val="134"/>
      </rPr>
      <t>国际声乐（21556）</t>
    </r>
  </si>
  <si>
    <r>
      <rPr>
        <sz val="18"/>
        <color rgb="FF000000"/>
        <rFont val="Calibri"/>
        <charset val="134"/>
      </rPr>
      <t xml:space="preserve">【存量】
</t>
    </r>
    <r>
      <rPr>
        <sz val="18"/>
        <color rgb="FFF54A45"/>
        <rFont val="Calibri"/>
        <charset val="134"/>
      </rPr>
      <t xml:space="preserve">2026年1月1日—2026年4月5日
</t>
    </r>
    <r>
      <rPr>
        <sz val="18"/>
        <color rgb="FF000000"/>
        <rFont val="Calibri"/>
        <charset val="134"/>
      </rPr>
      <t xml:space="preserve">摄影美学（10495）
</t>
    </r>
    <r>
      <rPr>
        <sz val="18"/>
        <color rgb="FFF54A45"/>
        <rFont val="Calibri"/>
        <charset val="134"/>
      </rPr>
      <t xml:space="preserve">2023年1月—2025年9月21日
</t>
    </r>
    <r>
      <rPr>
        <sz val="18"/>
        <color rgb="FF000000"/>
        <rFont val="Calibri"/>
        <charset val="134"/>
      </rPr>
      <t xml:space="preserve">短视频（101241）
</t>
    </r>
    <r>
      <rPr>
        <sz val="18"/>
        <color rgb="FFF54A45"/>
        <rFont val="Calibri"/>
        <charset val="134"/>
      </rPr>
      <t xml:space="preserve">2023年1月—2026年4月5日
</t>
    </r>
    <r>
      <rPr>
        <sz val="18"/>
        <color rgb="FF000000"/>
        <rFont val="Calibri"/>
        <charset val="134"/>
      </rPr>
      <t xml:space="preserve">手机摄影BCD(204464)
</t>
    </r>
    <r>
      <rPr>
        <sz val="18"/>
        <color rgb="FFF54A45"/>
        <rFont val="Calibri"/>
        <charset val="134"/>
      </rPr>
      <t xml:space="preserve">2025年9月22日—2026年4月5日
</t>
    </r>
    <r>
      <rPr>
        <sz val="18"/>
        <color rgb="FF000000"/>
        <rFont val="Calibri"/>
        <charset val="134"/>
      </rPr>
      <t>唱歌（225287）</t>
    </r>
  </si>
  <si>
    <t>元气直播（气血）</t>
  </si>
  <si>
    <t>元气直播（亚健康）</t>
  </si>
  <si>
    <r>
      <rPr>
        <b/>
        <sz val="18"/>
        <color rgb="FFFFFFFF"/>
        <rFont val="等线"/>
        <charset val="134"/>
        <scheme val="minor"/>
      </rPr>
      <t xml:space="preserve">【伪直播复用】
</t>
    </r>
    <r>
      <rPr>
        <sz val="10"/>
        <rFont val="宋体"/>
        <charset val="134"/>
      </rPr>
      <t xml:space="preserve">4.9姚国诚单人
</t>
    </r>
    <r>
      <rPr>
        <b/>
        <u/>
        <sz val="18"/>
        <color theme="10"/>
        <rFont val="Calibri"/>
        <charset val="134"/>
      </rPr>
      <t>https://s.xingqudao.net/SOYeUUw6</t>
    </r>
  </si>
  <si>
    <r>
      <rPr>
        <sz val="18"/>
        <color rgb="FF000000"/>
        <rFont val="Calibri"/>
        <charset val="134"/>
      </rPr>
      <t xml:space="preserve">【存量】
</t>
    </r>
    <r>
      <rPr>
        <sz val="18"/>
        <color rgb="FFF54A45"/>
        <rFont val="Calibri"/>
        <charset val="134"/>
      </rPr>
      <t xml:space="preserve">2023年1月—2026年4月5日
</t>
    </r>
    <r>
      <rPr>
        <sz val="18"/>
        <color rgb="FF000000"/>
        <rFont val="Calibri"/>
        <charset val="134"/>
      </rPr>
      <t xml:space="preserve">五禽戏（126845）
</t>
    </r>
    <r>
      <rPr>
        <sz val="18"/>
        <color rgb="FFF54A45"/>
        <rFont val="Calibri"/>
        <charset val="134"/>
      </rPr>
      <t xml:space="preserve">2023年1月—2025年9月21日
</t>
    </r>
    <r>
      <rPr>
        <sz val="18"/>
        <color rgb="FF000000"/>
        <rFont val="Calibri"/>
        <charset val="134"/>
      </rPr>
      <t>健康营养（122457）</t>
    </r>
  </si>
  <si>
    <r>
      <rPr>
        <sz val="18"/>
        <color rgb="FF000000"/>
        <rFont val="Calibri"/>
        <charset val="134"/>
      </rPr>
      <t xml:space="preserve">【存量】
</t>
    </r>
    <r>
      <rPr>
        <sz val="18"/>
        <color rgb="FFF54A45"/>
        <rFont val="Calibri"/>
        <charset val="134"/>
      </rPr>
      <t xml:space="preserve">2023年1月—2025年9月21日
</t>
    </r>
    <r>
      <rPr>
        <sz val="18"/>
        <color rgb="FF000000"/>
        <rFont val="Calibri"/>
        <charset val="134"/>
      </rPr>
      <t>气血（184114）</t>
    </r>
  </si>
  <si>
    <r>
      <rPr>
        <sz val="18"/>
        <color rgb="FF000000"/>
        <rFont val="Calibri"/>
        <charset val="134"/>
      </rPr>
      <t xml:space="preserve">【存量】
</t>
    </r>
    <r>
      <rPr>
        <sz val="18"/>
        <color rgb="FFF54A45"/>
        <rFont val="Calibri"/>
        <charset val="134"/>
      </rPr>
      <t xml:space="preserve">2023年1月—2025年9月21日
</t>
    </r>
    <r>
      <rPr>
        <sz val="18"/>
        <color rgb="FF000000"/>
        <rFont val="Calibri"/>
        <charset val="134"/>
      </rPr>
      <t>五禽戏、健康营养、睡眠（276225）</t>
    </r>
  </si>
  <si>
    <t>朋友圈宣发</t>
  </si>
  <si>
    <r>
      <rPr>
        <b/>
        <sz val="18"/>
        <color rgb="FFFFFFFF"/>
        <rFont val="等线"/>
        <charset val="134"/>
        <scheme val="minor"/>
      </rPr>
      <t xml:space="preserve">【伪直播复用】
</t>
    </r>
    <r>
      <rPr>
        <sz val="10"/>
        <rFont val="宋体"/>
        <charset val="134"/>
      </rPr>
      <t xml:space="preserve">3.30东方养正瑜伽复用
</t>
    </r>
    <r>
      <rPr>
        <sz val="10"/>
        <rFont val="宋体"/>
        <charset val="134"/>
      </rPr>
      <t>预约链接：</t>
    </r>
    <r>
      <rPr>
        <b/>
        <u/>
        <sz val="18"/>
        <color theme="10"/>
        <rFont val="Calibri"/>
        <charset val="134"/>
      </rPr>
      <t>https://s.xingqudao.net/SOYeUPwC</t>
    </r>
  </si>
  <si>
    <r>
      <rPr>
        <b/>
        <sz val="18"/>
        <color rgb="FFFFFFFF"/>
        <rFont val="等线"/>
        <charset val="134"/>
        <scheme val="minor"/>
      </rPr>
      <t xml:space="preserve">【伪直播复用】
</t>
    </r>
    <r>
      <rPr>
        <sz val="10"/>
        <rFont val="宋体"/>
        <charset val="134"/>
      </rPr>
      <t xml:space="preserve">收纳
</t>
    </r>
    <r>
      <rPr>
        <sz val="10"/>
        <rFont val="宋体"/>
        <charset val="134"/>
      </rPr>
      <t>预约链接：</t>
    </r>
    <r>
      <rPr>
        <b/>
        <u/>
        <sz val="18"/>
        <color theme="10"/>
        <rFont val="Calibri"/>
        <charset val="134"/>
      </rPr>
      <t>https://s.xingqudao.net/SOYeUUoc</t>
    </r>
  </si>
  <si>
    <r>
      <rPr>
        <b/>
        <sz val="18"/>
        <color rgb="FFFFFFFF"/>
        <rFont val="等线"/>
        <charset val="134"/>
        <scheme val="minor"/>
      </rPr>
      <t xml:space="preserve">【伪直播复用2.7】电子琴
</t>
    </r>
    <r>
      <rPr>
        <sz val="10"/>
        <rFont val="宋体"/>
        <charset val="134"/>
      </rPr>
      <t xml:space="preserve">4.12项目组自播
</t>
    </r>
    <r>
      <rPr>
        <sz val="10"/>
        <rFont val="宋体"/>
        <charset val="134"/>
      </rPr>
      <t>预约链接：</t>
    </r>
    <r>
      <rPr>
        <b/>
        <u/>
        <sz val="18"/>
        <color theme="10"/>
        <rFont val="Calibri"/>
        <charset val="134"/>
      </rPr>
      <t>https://s.xingqudao.net/SOYeTaub</t>
    </r>
  </si>
  <si>
    <r>
      <rPr>
        <sz val="18"/>
        <color rgb="FF000000"/>
        <rFont val="Calibri"/>
        <charset val="134"/>
      </rPr>
      <t xml:space="preserve">【存量】
</t>
    </r>
    <r>
      <rPr>
        <sz val="18"/>
        <color rgb="FFF54A45"/>
        <rFont val="Calibri"/>
        <charset val="134"/>
      </rPr>
      <t xml:space="preserve">2023年1月—2026年4月5日
</t>
    </r>
    <r>
      <rPr>
        <sz val="18"/>
        <color rgb="FF000000"/>
        <rFont val="Calibri"/>
        <charset val="134"/>
      </rPr>
      <t xml:space="preserve">普拉提BCD(223119)
</t>
    </r>
  </si>
  <si>
    <r>
      <rPr>
        <sz val="18"/>
        <color rgb="FF000000"/>
        <rFont val="Calibri"/>
        <charset val="134"/>
      </rPr>
      <t xml:space="preserve">【存量】
</t>
    </r>
    <r>
      <rPr>
        <sz val="18"/>
        <color rgb="FFF54A45"/>
        <rFont val="Calibri"/>
        <charset val="134"/>
      </rPr>
      <t xml:space="preserve">2026年1月1日—2026年4月5日
</t>
    </r>
    <r>
      <rPr>
        <sz val="18"/>
        <color rgb="FF000000"/>
        <rFont val="Calibri"/>
        <charset val="134"/>
      </rPr>
      <t xml:space="preserve">国际声乐（21556）
</t>
    </r>
    <r>
      <rPr>
        <sz val="18"/>
        <color rgb="FFF54A45"/>
        <rFont val="Calibri"/>
        <charset val="134"/>
      </rPr>
      <t xml:space="preserve">2023年1月—2025年9月21日
</t>
    </r>
    <r>
      <rPr>
        <sz val="18"/>
        <color rgb="FF000000"/>
        <rFont val="Calibri"/>
        <charset val="134"/>
      </rPr>
      <t>唱歌（245946）</t>
    </r>
  </si>
  <si>
    <t>4.18</t>
  </si>
  <si>
    <t>古法居家养生（购物车链接）124542375690</t>
  </si>
  <si>
    <t>【私域】-古法居家-千聊内部-0元-节气养正直播-购物车专属</t>
  </si>
  <si>
    <t>https://t1.nicegoods.cn/financial/experience-plan-sku?launchId=124542375690</t>
  </si>
  <si>
    <t>古法居家养生（社群专属）124545101576</t>
  </si>
  <si>
    <t>【私域】-古法居家-千聊内部-0元-节气养正直播-社群专属</t>
  </si>
  <si>
    <t>https://t1.nicegoods.cn/financial/experience-plan-sku?launchId=124545101576</t>
  </si>
  <si>
    <t>直播链接私域渠道-节气养正老量</t>
  </si>
  <si>
    <t>免费-古法居家养生-千聊内部-矩阵私域-莫静雯-1v1-健康组-节气养正直播-20260413</t>
  </si>
  <si>
    <t>210500_14207920_financing</t>
  </si>
  <si>
    <r>
      <rPr>
        <u/>
        <sz val="12"/>
        <color theme="10"/>
        <rFont val="Calibri"/>
        <charset val="134"/>
      </rPr>
      <t>https://t1.nicegoods.cn/financial/experience-plan-sku?launchId=124545101576&amp;wcl=210500_14207920_financing</t>
    </r>
  </si>
  <si>
    <r>
      <rPr>
        <u/>
        <sz val="12"/>
        <color theme="10"/>
        <rFont val="Calibri"/>
        <charset val="134"/>
      </rPr>
      <t>https://s.xingqudao.net/SOYeSv0f</t>
    </r>
  </si>
  <si>
    <t>免费-古法居家养生-千聊内部-矩阵私域-莫静雯-社群-健康组-节气养正直播-20260413</t>
  </si>
  <si>
    <t>210500_14207921_financing</t>
  </si>
  <si>
    <r>
      <rPr>
        <u/>
        <sz val="12"/>
        <color theme="10"/>
        <rFont val="Calibri"/>
        <charset val="134"/>
      </rPr>
      <t>https://t1.nicegoods.cn/financial/experience-plan-sku?launchId=124545101576&amp;wcl=210500_14207921_financing</t>
    </r>
  </si>
  <si>
    <r>
      <rPr>
        <u/>
        <sz val="12"/>
        <color theme="10"/>
        <rFont val="Calibri"/>
        <charset val="134"/>
      </rPr>
      <t>https://s.xingqudao.net/SOYeSv0h</t>
    </r>
  </si>
  <si>
    <t>免费-古法居家养生-千聊内部-矩阵私域-莫静雯-1v1-健康组-节气养正直播-购物车链接-20260413</t>
  </si>
  <si>
    <t>210500_14207922_financing</t>
  </si>
  <si>
    <r>
      <rPr>
        <u/>
        <sz val="12"/>
        <color theme="10"/>
        <rFont val="Calibri"/>
        <charset val="134"/>
      </rPr>
      <t>https://t1.nicegoods.cn/financial/experience-plan-sku?launchId=124542375690&amp;wcl=210500_14207922_financing</t>
    </r>
  </si>
  <si>
    <r>
      <rPr>
        <u/>
        <sz val="12"/>
        <color theme="10"/>
        <rFont val="Calibri"/>
        <charset val="134"/>
      </rPr>
      <t>https://s.xingqudao.net/SOYeSv0i</t>
    </r>
  </si>
  <si>
    <t>3.18一杰瑜伽</t>
  </si>
  <si>
    <t>一杰瑜伽（购物车链接）124673614460</t>
  </si>
  <si>
    <t>【私域】一杰瑜伽-千聊内部-0元-4/18早 间健康变美直播-购物车副本</t>
  </si>
  <si>
    <r>
      <rPr>
        <u/>
        <sz val="13.5"/>
        <color theme="10"/>
        <rFont val="Calibri"/>
        <charset val="134"/>
      </rPr>
      <t>https://p2.nicegoods.cn/financial/experience-plan-sku?launchId=124673614460</t>
    </r>
  </si>
  <si>
    <t>一杰瑜伽（社群专属）124671707482</t>
  </si>
  <si>
    <t>【私域】一杰瑜伽-千聊内部-0元-4/18早间健康变美直播-弹幕副本</t>
  </si>
  <si>
    <r>
      <rPr>
        <u/>
        <sz val="13.5"/>
        <color theme="10"/>
        <rFont val="Calibri"/>
        <charset val="134"/>
      </rPr>
      <t>https://p2.nicegoods.cn/financial/experience-plan-sku?launchId=124671707482</t>
    </r>
  </si>
  <si>
    <t>免费-一杰瑜伽-千聊内部-矩阵私域-刘芳-1V1-变美组-健康变美直播-20260414</t>
  </si>
  <si>
    <t>210500_14210225_financing</t>
  </si>
  <si>
    <r>
      <rPr>
        <u/>
        <sz val="12"/>
        <color theme="10"/>
        <rFont val="Calibri"/>
        <charset val="134"/>
      </rPr>
      <t>https://p2.nicegoods.cn/financial/experience-plan-sku?launchId=124671707482&amp;wcl=210500_14210225_financing</t>
    </r>
  </si>
  <si>
    <r>
      <rPr>
        <u/>
        <sz val="12"/>
        <color theme="10"/>
        <rFont val="Calibri"/>
        <charset val="134"/>
      </rPr>
      <t>https://s.xingqudao.net/SOYeTVXp</t>
    </r>
  </si>
  <si>
    <t>免费-一杰瑜伽-千聊内部-矩阵私域-刘芳-朋友圈-变美组-健康变美直播-20260414</t>
  </si>
  <si>
    <t>210500_14210226_financing</t>
  </si>
  <si>
    <r>
      <rPr>
        <u/>
        <sz val="12"/>
        <color theme="10"/>
        <rFont val="Calibri"/>
        <charset val="134"/>
      </rPr>
      <t>https://p2.nicegoods.cn/financial/experience-plan-sku?launchId=124671707482&amp;wcl=210500_14210226_financing</t>
    </r>
  </si>
  <si>
    <r>
      <rPr>
        <u/>
        <sz val="12"/>
        <color theme="10"/>
        <rFont val="Calibri"/>
        <charset val="134"/>
      </rPr>
      <t>https://s.xingqudao.net/SOYeTVXq</t>
    </r>
  </si>
  <si>
    <t>免费-一杰瑜伽-千聊内部-矩阵私域-刘芳-社群-变美组-健康变美直播-20260414</t>
  </si>
  <si>
    <t>210500_14210227_financing</t>
  </si>
  <si>
    <r>
      <rPr>
        <u/>
        <sz val="12"/>
        <color theme="10"/>
        <rFont val="Calibri"/>
        <charset val="134"/>
      </rPr>
      <t>https://p2.nicegoods.cn/financial/experience-plan-sku?launchId=124671707482&amp;wcl=210500_14210227_financing</t>
    </r>
  </si>
  <si>
    <r>
      <rPr>
        <u/>
        <sz val="12"/>
        <color theme="10"/>
        <rFont val="Calibri"/>
        <charset val="134"/>
      </rPr>
      <t>https://s.xingqudao.net/SOYeTVXr</t>
    </r>
  </si>
  <si>
    <t>免费-一杰瑜伽-千聊内部-矩阵私域-刘芳-1V1-变美组-健康变美直播-购物车链接-20260414</t>
  </si>
  <si>
    <t>210500_14210223_financing</t>
  </si>
  <si>
    <r>
      <rPr>
        <u/>
        <sz val="12"/>
        <color theme="10"/>
        <rFont val="Calibri"/>
        <charset val="134"/>
      </rPr>
      <t>https://p2.nicegoods.cn/financial/experience-plan-sku?launchId=124673614460&amp;wcl=210500_14210223_financing</t>
    </r>
  </si>
  <si>
    <r>
      <rPr>
        <u/>
        <sz val="12"/>
        <color theme="10"/>
        <rFont val="Calibri"/>
        <charset val="134"/>
      </rPr>
      <t>https://s.xingqudao.net/SOYeTVXn</t>
    </r>
  </si>
  <si>
    <t>免费-一杰瑜伽-千聊内部-矩阵私域-刘芳-1V1-变美组-健康变美直播-弹幕链接-20260414</t>
  </si>
  <si>
    <t>210500_14210224_financing</t>
  </si>
  <si>
    <r>
      <rPr>
        <u/>
        <sz val="12"/>
        <color theme="10"/>
        <rFont val="Calibri"/>
        <charset val="134"/>
      </rPr>
      <t>https://p2.nicegoods.cn/financial/experience-plan-sku?launchId=124671707482&amp;wcl=210500_14210224_financing</t>
    </r>
  </si>
  <si>
    <r>
      <rPr>
        <u/>
        <sz val="12"/>
        <color theme="10"/>
        <rFont val="Calibri"/>
        <charset val="134"/>
      </rPr>
      <t>https://s.xingqudao.net/SOYeTVXo</t>
    </r>
  </si>
  <si>
    <t>3.17东方养正瑜伽</t>
  </si>
  <si>
    <t>东方养正瑜伽（购物车链接）124917249180</t>
  </si>
  <si>
    <t>【私域】-千聊内部-东方养正瑜伽营-0元-4/17晚间-健康变美直播-购物车</t>
  </si>
  <si>
    <r>
      <rPr>
        <u/>
        <sz val="13.5"/>
        <color theme="10"/>
        <rFont val="Calibri"/>
        <charset val="134"/>
      </rPr>
      <t>https://p2.nicegoods.cn/financial/experience-plan-sku?launchId=124917249180</t>
    </r>
  </si>
  <si>
    <t>东方养正瑜伽（社群专属）124916068995</t>
  </si>
  <si>
    <t>【私域】-千聊内部-东方养正瑜伽营-0元-4/17晚间-健康变美直播-社群专属</t>
  </si>
  <si>
    <r>
      <rPr>
        <u/>
        <sz val="13.5"/>
        <color theme="10"/>
        <rFont val="Calibri"/>
        <charset val="134"/>
      </rPr>
      <t>https://p2.nicegoods.cn/financial/experience-plan-sku?launchId=124916068995</t>
    </r>
  </si>
  <si>
    <t>免费-东方养正瑜伽-千聊内部-矩阵私域-刘芳-1V1-变美组-健康变美直播-20260415</t>
  </si>
  <si>
    <t>210500_14214263_financing</t>
  </si>
  <si>
    <r>
      <rPr>
        <u/>
        <sz val="12"/>
        <color theme="10"/>
        <rFont val="Calibri"/>
        <charset val="134"/>
      </rPr>
      <t>https://p2.nicegoods.cn/financial/experience-plan-sku?launchId=124916068995&amp;wcl=210500_14214263_financing</t>
    </r>
  </si>
  <si>
    <r>
      <rPr>
        <u/>
        <sz val="12"/>
        <color theme="10"/>
        <rFont val="Calibri"/>
        <charset val="134"/>
      </rPr>
      <t>https://s.xingqudao.net/SOYeU4mp</t>
    </r>
  </si>
  <si>
    <t>免费-东方养正瑜伽-千聊内部-矩阵私域-刘芳-朋友圈-变美组-健康变美直播-20260415</t>
  </si>
  <si>
    <t>210500_14214264_financing</t>
  </si>
  <si>
    <r>
      <rPr>
        <u/>
        <sz val="12"/>
        <color theme="10"/>
        <rFont val="Calibri"/>
        <charset val="134"/>
      </rPr>
      <t>https://p2.nicegoods.cn/financial/experience-plan-sku?launchId=124916068995&amp;wcl=210500_14214264_financing</t>
    </r>
  </si>
  <si>
    <r>
      <rPr>
        <u/>
        <sz val="12"/>
        <color theme="10"/>
        <rFont val="Calibri"/>
        <charset val="134"/>
      </rPr>
      <t>https://s.xingqudao.net/SOYeU4mq</t>
    </r>
  </si>
  <si>
    <t>免费-东方养正瑜伽-千聊内部-矩阵私域-刘芳-社群-变美组-健康变美直播-20260415</t>
  </si>
  <si>
    <t>210500_14214265_financing</t>
  </si>
  <si>
    <r>
      <rPr>
        <u/>
        <sz val="12"/>
        <color theme="10"/>
        <rFont val="Calibri"/>
        <charset val="134"/>
      </rPr>
      <t>https://p2.nicegoods.cn/financial/experience-plan-sku?launchId=124916068995&amp;wcl=210500_14214265_financing</t>
    </r>
  </si>
  <si>
    <r>
      <rPr>
        <u/>
        <sz val="12"/>
        <color theme="10"/>
        <rFont val="Calibri"/>
        <charset val="134"/>
      </rPr>
      <t>https://s.xingqudao.net/SOYeU4mr</t>
    </r>
  </si>
  <si>
    <t>免费-东方养正瑜伽-千聊内部-矩阵私域-刘芳-1V1-变美组-健康变美直播-购物车链接-20260415</t>
  </si>
  <si>
    <t>210500_14214261_financing</t>
  </si>
  <si>
    <r>
      <rPr>
        <u/>
        <sz val="12"/>
        <color theme="10"/>
        <rFont val="Calibri"/>
        <charset val="134"/>
      </rPr>
      <t>https://p2.nicegoods.cn/financial/experience-plan-sku?launchId=124917249180&amp;wcl=210500_14214261_financing</t>
    </r>
  </si>
  <si>
    <r>
      <rPr>
        <u/>
        <sz val="12"/>
        <color theme="10"/>
        <rFont val="Calibri"/>
        <charset val="134"/>
      </rPr>
      <t>https://s.xingqudao.net/SOYeU4mn</t>
    </r>
  </si>
  <si>
    <t>免费-东方养正瑜伽-千聊内部-矩阵私域-刘芳-1V1-变美组-健康变美直播-弹幕链接-20260415</t>
  </si>
  <si>
    <t>210500_14214262_financing</t>
  </si>
  <si>
    <r>
      <rPr>
        <u/>
        <sz val="12"/>
        <color theme="10"/>
        <rFont val="Calibri"/>
        <charset val="134"/>
      </rPr>
      <t>https://p2.nicegoods.cn/financial/experience-plan-sku?launchId=124916068995&amp;wcl=210500_14214262_financing</t>
    </r>
  </si>
  <si>
    <r>
      <rPr>
        <u/>
        <sz val="12"/>
        <color theme="10"/>
        <rFont val="Calibri"/>
        <charset val="134"/>
      </rPr>
      <t>https://s.xingqudao.net/SOYeU4mo</t>
    </r>
  </si>
  <si>
    <t>3.18收纳</t>
  </si>
  <si>
    <t>美学收纳（购物车链接）124919641013</t>
  </si>
  <si>
    <t>【私域】-千聊内部-美学收纳-卞栎淳-0元-健康变美直播-购物车链接</t>
  </si>
  <si>
    <r>
      <rPr>
        <u/>
        <sz val="13.5"/>
        <color theme="10"/>
        <rFont val="Calibri"/>
        <charset val="134"/>
      </rPr>
      <t>https://p2.nicegoods.cn/financial/experience-plan-sku?launchId=124919641013</t>
    </r>
  </si>
  <si>
    <t>美学收纳 （社群专属）124916086534</t>
  </si>
  <si>
    <t>【私域】-千聊内部-美学收纳-卞栎淳-0元-健康变美直播-直播弹幕</t>
  </si>
  <si>
    <r>
      <rPr>
        <u/>
        <sz val="13.5"/>
        <color theme="10"/>
        <rFont val="Calibri"/>
        <charset val="134"/>
      </rPr>
      <t>https://p2.nicegoods.cn/financial/experience-plan-sku?launchId=124916086534</t>
    </r>
  </si>
  <si>
    <t>免费-美学收纳-千聊内部-矩阵私域-刘芳-1V1-变美组-健康变美直播-20260415</t>
  </si>
  <si>
    <t>210500_14214268_financing</t>
  </si>
  <si>
    <r>
      <rPr>
        <u/>
        <sz val="12"/>
        <color theme="10"/>
        <rFont val="Calibri"/>
        <charset val="134"/>
      </rPr>
      <t>https://p2.nicegoods.cn/financial/experience-plan-sku?launchId=124916086534&amp;wcl=210500_14214268_financing</t>
    </r>
  </si>
  <si>
    <r>
      <rPr>
        <u/>
        <sz val="12"/>
        <color theme="10"/>
        <rFont val="Calibri"/>
        <charset val="134"/>
      </rPr>
      <t>https://s.xingqudao.net/SOYeU4mv</t>
    </r>
  </si>
  <si>
    <t>免费-美学收纳-千聊内部-矩阵私域-刘芳-朋友圈-变美组-健康变美直播-20260415</t>
  </si>
  <si>
    <t>210500_14214269_financing</t>
  </si>
  <si>
    <r>
      <rPr>
        <u/>
        <sz val="12"/>
        <color theme="10"/>
        <rFont val="Calibri"/>
        <charset val="134"/>
      </rPr>
      <t>https://p2.nicegoods.cn/financial/experience-plan-sku?launchId=124916086534&amp;wcl=210500_14214269_financing</t>
    </r>
  </si>
  <si>
    <r>
      <rPr>
        <u/>
        <sz val="12"/>
        <color theme="10"/>
        <rFont val="Calibri"/>
        <charset val="134"/>
      </rPr>
      <t>https://s.xingqudao.net/SOYeU4mw</t>
    </r>
  </si>
  <si>
    <t>免费-美学收纳-千聊内部-矩阵私域-刘芳-社群-变美组-健康变美直播-20260415</t>
  </si>
  <si>
    <t>210500_14214270_financing</t>
  </si>
  <si>
    <r>
      <rPr>
        <u/>
        <sz val="12"/>
        <color theme="10"/>
        <rFont val="Calibri"/>
        <charset val="134"/>
      </rPr>
      <t>https://p2.nicegoods.cn/financial/experience-plan-sku?launchId=124916086534&amp;wcl=210500_14214270_financing</t>
    </r>
  </si>
  <si>
    <r>
      <rPr>
        <u/>
        <sz val="12"/>
        <color theme="10"/>
        <rFont val="Calibri"/>
        <charset val="134"/>
      </rPr>
      <t>https://s.xingqudao.net/SOYeU4mx</t>
    </r>
  </si>
  <si>
    <t>免费-美学收纳-千聊内部-矩阵私域-刘芳-1V1-变美组-健康变美直播-购物车链接-20260415</t>
  </si>
  <si>
    <t>210500_14214266_financing</t>
  </si>
  <si>
    <r>
      <rPr>
        <u/>
        <sz val="12"/>
        <color theme="10"/>
        <rFont val="Calibri"/>
        <charset val="134"/>
      </rPr>
      <t>https://p2.nicegoods.cn/financial/experience-plan-sku?launchId=124919641013&amp;wcl=210500_14214266_financing</t>
    </r>
  </si>
  <si>
    <r>
      <rPr>
        <u/>
        <sz val="12"/>
        <color theme="10"/>
        <rFont val="Calibri"/>
        <charset val="134"/>
      </rPr>
      <t>https://s.xingqudao.net/SOYeU4mt</t>
    </r>
  </si>
  <si>
    <t>免费-美学收纳-千聊内部-矩阵私域-刘芳-1V1-变美组-健康变美直播-弹幕链接-20260415</t>
  </si>
  <si>
    <t>210500_14214267_financing</t>
  </si>
  <si>
    <r>
      <rPr>
        <u/>
        <sz val="12"/>
        <color theme="10"/>
        <rFont val="Calibri"/>
        <charset val="134"/>
      </rPr>
      <t>https://p2.nicegoods.cn/financial/experience-plan-sku?launchId=124916086534&amp;wcl=210500_14214267_financing</t>
    </r>
  </si>
  <si>
    <r>
      <rPr>
        <u/>
        <sz val="12"/>
        <color theme="10"/>
        <rFont val="Calibri"/>
        <charset val="134"/>
      </rPr>
      <t>https://s.xingqudao.net/SOYeU4mu</t>
    </r>
  </si>
  <si>
    <t>4.19电子琴</t>
  </si>
  <si>
    <t>【私域】-电子琴-千聊内部-0元-兴趣组-兴趣直播-购物车链接【4.19直播】</t>
  </si>
  <si>
    <r>
      <rPr>
        <u/>
        <sz val="13.5"/>
        <color theme="10"/>
        <rFont val="Calibri"/>
        <charset val="134"/>
      </rPr>
      <t>https://t1.nicegoods.cn/financial/experience-plan-sku?launchId=125092753401</t>
    </r>
  </si>
  <si>
    <t>【私域】-电子琴-千聊内部-0元-兴趣组-兴趣直播-直播弹幕【4.19直播】</t>
  </si>
  <si>
    <r>
      <rPr>
        <u/>
        <sz val="13.5"/>
        <color theme="10"/>
        <rFont val="Calibri"/>
        <charset val="134"/>
      </rPr>
      <t>https://t1.nicegoods.cn/financial/experience-plan-sku?launchId=125090775007</t>
    </r>
  </si>
  <si>
    <t>兴趣组</t>
  </si>
  <si>
    <t>免费-电子琴-千聊内部-矩阵私域-陈恩平-社群-兴趣组-兴趣直播-20260416</t>
  </si>
  <si>
    <t>210500_14217364_financing</t>
  </si>
  <si>
    <r>
      <rPr>
        <u/>
        <sz val="12"/>
        <color theme="10"/>
        <rFont val="Calibri"/>
        <charset val="134"/>
      </rPr>
      <t>https://t1.nicegoods.cn/financial/experience-plan-sku?launchId=125090775007&amp;wcl=210500_14217364_financing</t>
    </r>
  </si>
  <si>
    <r>
      <rPr>
        <u/>
        <sz val="12"/>
        <color theme="10"/>
        <rFont val="Calibri"/>
        <charset val="134"/>
      </rPr>
      <t>https://s.xingqudao.net/SOYeUqyK</t>
    </r>
  </si>
  <si>
    <t>免费-电子琴-千聊内部-矩阵私域-陈恩平-1v1-兴趣组-兴趣直播-20260416</t>
  </si>
  <si>
    <t>210500_14217365_financing</t>
  </si>
  <si>
    <r>
      <rPr>
        <u/>
        <sz val="12"/>
        <color theme="10"/>
        <rFont val="Calibri"/>
        <charset val="134"/>
      </rPr>
      <t>https://t1.nicegoods.cn/financial/experience-plan-sku?launchId=125090775007&amp;wcl=210500_14217365_financing</t>
    </r>
  </si>
  <si>
    <r>
      <rPr>
        <u/>
        <sz val="12"/>
        <color theme="10"/>
        <rFont val="Calibri"/>
        <charset val="134"/>
      </rPr>
      <t>https://s.xingqudao.net/SOYeUqyL</t>
    </r>
  </si>
  <si>
    <t>免费-电子琴-千聊内部-矩阵私域-陈恩平-朋友圈-兴趣组-兴趣直播-20260416</t>
  </si>
  <si>
    <t>210500_14217366_financing</t>
  </si>
  <si>
    <r>
      <rPr>
        <u/>
        <sz val="12"/>
        <color theme="10"/>
        <rFont val="Calibri"/>
        <charset val="134"/>
      </rPr>
      <t>https://t1.nicegoods.cn/financial/experience-plan-sku?launchId=125090775007&amp;wcl=210500_14217366_financing</t>
    </r>
  </si>
  <si>
    <r>
      <rPr>
        <u/>
        <sz val="12"/>
        <color theme="10"/>
        <rFont val="Calibri"/>
        <charset val="134"/>
      </rPr>
      <t>https://s.xingqudao.net/SOYeUqyM</t>
    </r>
  </si>
  <si>
    <t>免费-电子琴-千聊内部-矩阵私域-陈恩平-1v1-兴趣组-购物车链接-20260416</t>
  </si>
  <si>
    <t>210500_14217367_financing</t>
  </si>
  <si>
    <r>
      <rPr>
        <u/>
        <sz val="12"/>
        <color theme="10"/>
        <rFont val="Calibri"/>
        <charset val="134"/>
      </rPr>
      <t>https://t1.nicegoods.cn/financial/experience-plan-sku?launchId=125092753401&amp;wcl=210500_14217367_financing</t>
    </r>
  </si>
  <si>
    <r>
      <rPr>
        <u/>
        <sz val="12"/>
        <color theme="10"/>
        <rFont val="Calibri"/>
        <charset val="134"/>
      </rPr>
      <t>https://s.xingqudao.net/SOYeUqyN</t>
    </r>
  </si>
  <si>
    <t>免费-电子琴-千聊内部-矩阵私域-陈恩平-1v1-兴趣组-直播弹幕-20260416</t>
  </si>
  <si>
    <t>210500_14217368_financing</t>
  </si>
  <si>
    <r>
      <rPr>
        <u/>
        <sz val="12"/>
        <color theme="10"/>
        <rFont val="Calibri"/>
        <charset val="134"/>
      </rPr>
      <t>https://t1.nicegoods.cn/financial/experience-plan-sku?launchId=125090775007&amp;wcl=210500_14217368_financing</t>
    </r>
  </si>
  <si>
    <r>
      <rPr>
        <u/>
        <sz val="12"/>
        <color theme="10"/>
        <rFont val="Calibri"/>
        <charset val="134"/>
      </rPr>
      <t>https://s.xingqudao.net/SOYeUqyO</t>
    </r>
  </si>
  <si>
    <r>
      <rPr>
        <b/>
        <sz val="18"/>
        <color rgb="FF1F2329"/>
        <rFont val="Calibri"/>
        <charset val="134"/>
      </rPr>
      <t>4月</t>
    </r>
    <r>
      <rPr>
        <b/>
        <sz val="18"/>
        <color rgb="FFF54A45"/>
        <rFont val="Calibri"/>
        <charset val="134"/>
      </rPr>
      <t>（晨练7:00开播！！）</t>
    </r>
  </si>
  <si>
    <t>4.6</t>
  </si>
  <si>
    <t>4.10</t>
  </si>
  <si>
    <t>逆龄女神瑜伽晨练
7:00-8:30
一杰瑜伽晨练
8:30-10:00</t>
  </si>
  <si>
    <t>伪直播复用
逆龄女神瑜伽晨练
复用3月11日
已有单课id</t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</si>
  <si>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2023年1月—2025年9月14日
</t>
    </r>
    <r>
      <rPr>
        <sz val="18"/>
        <color rgb="FF000000"/>
        <rFont val="Calibri"/>
        <charset val="134"/>
      </rPr>
      <t xml:space="preserve">太极S(126292)
</t>
    </r>
    <r>
      <rPr>
        <b/>
        <sz val="18"/>
        <color rgb="FFF54A45"/>
        <rFont val="Calibri"/>
        <charset val="134"/>
      </rPr>
      <t xml:space="preserve">2023年1月—2025年9月14日
</t>
    </r>
    <r>
      <rPr>
        <sz val="18"/>
        <color rgb="FF000000"/>
        <rFont val="Calibri"/>
        <charset val="134"/>
      </rPr>
      <t xml:space="preserve">睡眠、气血（229484）
</t>
    </r>
    <r>
      <rPr>
        <b/>
        <sz val="18"/>
        <color rgb="FFF54A45"/>
        <rFont val="Calibri"/>
        <charset val="134"/>
      </rPr>
      <t xml:space="preserve">2023年1月—2025年3月16日
</t>
    </r>
    <r>
      <rPr>
        <sz val="18"/>
        <color rgb="FF000000"/>
        <rFont val="Calibri"/>
        <charset val="134"/>
      </rPr>
      <t>太极BCD(280212)</t>
    </r>
  </si>
  <si>
    <r>
      <rPr>
        <b/>
        <sz val="18"/>
        <color rgb="FFF54A45"/>
        <rFont val="Calibri"/>
        <charset val="134"/>
      </rPr>
      <t xml:space="preserve">【存量】
2025年3月17日—2025年9月14日
</t>
    </r>
    <r>
      <rPr>
        <sz val="18"/>
        <color rgb="FF000000"/>
        <rFont val="Calibri"/>
        <charset val="134"/>
      </rPr>
      <t xml:space="preserve">太极BCD（157280）
</t>
    </r>
    <r>
      <rPr>
        <b/>
        <sz val="18"/>
        <color rgb="FFF54A45"/>
        <rFont val="Calibri"/>
        <charset val="134"/>
      </rPr>
      <t xml:space="preserve">2025年12月15日—2026年3月29日
</t>
    </r>
    <r>
      <rPr>
        <sz val="18"/>
        <color rgb="FF000000"/>
        <rFont val="Calibri"/>
        <charset val="134"/>
      </rPr>
      <t>太极SA(123857)</t>
    </r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</si>
  <si>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2023年1月—2025年12月14日
</t>
    </r>
    <r>
      <rPr>
        <sz val="18"/>
        <color rgb="FF000000"/>
        <rFont val="Calibri"/>
        <charset val="134"/>
      </rPr>
      <t xml:space="preserve">瑜伽A(129609)
</t>
    </r>
    <r>
      <rPr>
        <b/>
        <sz val="18"/>
        <color rgb="FFF54A45"/>
        <rFont val="Calibri"/>
        <charset val="134"/>
      </rPr>
      <t xml:space="preserve">2023年1月—2025年9月14日
</t>
    </r>
    <r>
      <rPr>
        <sz val="18"/>
        <color rgb="FF000000"/>
        <rFont val="Calibri"/>
        <charset val="134"/>
      </rPr>
      <t>瑜伽BCD(267050)</t>
    </r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</si>
  <si>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2023年1月—2025年3月16日
</t>
    </r>
    <r>
      <rPr>
        <sz val="18"/>
        <color rgb="FF000000"/>
        <rFont val="Calibri"/>
        <charset val="134"/>
      </rPr>
      <t xml:space="preserve">东方养正瑜伽（119312）
</t>
    </r>
    <r>
      <rPr>
        <b/>
        <sz val="18"/>
        <color rgb="FFF54A45"/>
        <rFont val="Calibri"/>
        <charset val="134"/>
      </rPr>
      <t xml:space="preserve">2025年9月15日—2026年3月29日
</t>
    </r>
    <r>
      <rPr>
        <sz val="18"/>
        <color rgb="FF000000"/>
        <rFont val="Calibri"/>
        <charset val="134"/>
      </rPr>
      <t xml:space="preserve">瑜伽BCD(90398)
</t>
    </r>
    <r>
      <rPr>
        <b/>
        <sz val="18"/>
        <color rgb="FFF54A45"/>
        <rFont val="Calibri"/>
        <charset val="134"/>
      </rPr>
      <t xml:space="preserve">2026年1月1日—2026年3月29日
</t>
    </r>
    <r>
      <rPr>
        <sz val="18"/>
        <color rgb="FF000000"/>
        <rFont val="Calibri"/>
        <charset val="134"/>
      </rPr>
      <t xml:space="preserve">面部驻颜瑜伽（17136）
</t>
    </r>
    <r>
      <rPr>
        <b/>
        <sz val="18"/>
        <color rgb="FFF54A45"/>
        <rFont val="Calibri"/>
        <charset val="134"/>
      </rPr>
      <t xml:space="preserve">2023年1月—2025年9月14日
</t>
    </r>
    <r>
      <rPr>
        <sz val="18"/>
        <color rgb="FF000000"/>
        <rFont val="Calibri"/>
        <charset val="134"/>
      </rPr>
      <t>瑜伽S(90320)</t>
    </r>
  </si>
  <si>
    <r>
      <rPr>
        <b/>
        <sz val="18"/>
        <color rgb="FFF54A45"/>
        <rFont val="Calibri"/>
        <charset val="134"/>
      </rPr>
      <t xml:space="preserve">【存量】
2025年9月15日—2026年3月29日
</t>
    </r>
    <r>
      <rPr>
        <sz val="18"/>
        <color rgb="FF000000"/>
        <rFont val="Calibri"/>
        <charset val="134"/>
      </rPr>
      <t xml:space="preserve">瑜伽S(97891)
</t>
    </r>
    <r>
      <rPr>
        <b/>
        <sz val="18"/>
        <color rgb="FFF54A45"/>
        <rFont val="Calibri"/>
        <charset val="134"/>
      </rPr>
      <t xml:space="preserve">2023年1月—2025年3月16日
</t>
    </r>
    <r>
      <rPr>
        <sz val="18"/>
        <color rgb="FF000000"/>
        <rFont val="Calibri"/>
        <charset val="134"/>
      </rPr>
      <t>瑜伽BCd（170274）</t>
    </r>
  </si>
  <si>
    <t>【存量】
2023年1月—2026年3月1日
普拉提SA(198159)
2023年1月—2025年2月23日
中医变美（146716）</t>
  </si>
  <si>
    <t>陈浙南0元新体验营
（新栏目）</t>
  </si>
  <si>
    <t>姚国诚单人</t>
  </si>
  <si>
    <r>
      <rPr>
        <b/>
        <sz val="18"/>
        <color rgb="FF000000"/>
        <rFont val="等线"/>
        <charset val="134"/>
        <scheme val="minor"/>
      </rPr>
      <t>写作课</t>
    </r>
    <r>
      <rPr>
        <sz val="10"/>
        <rFont val="宋体"/>
        <charset val="134"/>
      </rPr>
      <t xml:space="preserve">
</t>
    </r>
    <r>
      <rPr>
        <b/>
        <u/>
        <sz val="18"/>
        <color theme="10"/>
        <rFont val="Calibri"/>
        <charset val="134"/>
      </rPr>
      <t>4.10【写作启蒙课】直播对接清单</t>
    </r>
    <r>
      <rPr>
        <sz val="10"/>
        <rFont val="宋体"/>
        <charset val="134"/>
      </rPr>
      <t xml:space="preserve"> </t>
    </r>
  </si>
  <si>
    <r>
      <rPr>
        <b/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2023年1月—2026年3月22日
</t>
    </r>
    <r>
      <rPr>
        <sz val="18"/>
        <color rgb="FF000000"/>
        <rFont val="Calibri"/>
        <charset val="134"/>
      </rPr>
      <t xml:space="preserve">普拉提SA（195845）
</t>
    </r>
    <r>
      <rPr>
        <b/>
        <sz val="18"/>
        <color rgb="FFF54A45"/>
        <rFont val="Calibri"/>
        <charset val="134"/>
      </rPr>
      <t xml:space="preserve">2023年1月—2026年3月29日
</t>
    </r>
    <r>
      <rPr>
        <sz val="18"/>
        <color rgb="FF000000"/>
        <rFont val="Calibri"/>
        <charset val="134"/>
      </rPr>
      <t xml:space="preserve">中医变美（226100）
</t>
    </r>
    <r>
      <rPr>
        <b/>
        <sz val="18"/>
        <color rgb="FFF54A45"/>
        <rFont val="Calibri"/>
        <charset val="134"/>
      </rPr>
      <t xml:space="preserve">2026年1月1日—2026年3月29日
</t>
    </r>
    <r>
      <rPr>
        <sz val="18"/>
        <color rgb="FF000000"/>
        <rFont val="Calibri"/>
        <charset val="134"/>
      </rPr>
      <t xml:space="preserve">面部驻颜瑜伽（17136）
</t>
    </r>
    <r>
      <rPr>
        <b/>
        <sz val="18"/>
        <color rgb="FFF54A45"/>
        <rFont val="Calibri"/>
        <charset val="134"/>
      </rPr>
      <t xml:space="preserve">2025年12月15日—2026年3月29日
</t>
    </r>
    <r>
      <rPr>
        <sz val="18"/>
        <color rgb="FF000000"/>
        <rFont val="Calibri"/>
        <charset val="134"/>
      </rPr>
      <t>瑜伽A(38555)</t>
    </r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</si>
  <si>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2023年1月—2026年3月29日
</t>
    </r>
    <r>
      <rPr>
        <sz val="18"/>
        <color rgb="FF000000"/>
        <rFont val="Calibri"/>
        <charset val="134"/>
      </rPr>
      <t xml:space="preserve">固气活血（64992）
</t>
    </r>
    <r>
      <rPr>
        <b/>
        <sz val="18"/>
        <color rgb="FFF54A45"/>
        <rFont val="Calibri"/>
        <charset val="134"/>
      </rPr>
      <t xml:space="preserve">2025年9月15日—2026年3月29日
</t>
    </r>
    <r>
      <rPr>
        <sz val="18"/>
        <color rgb="FF000000"/>
        <rFont val="Calibri"/>
        <charset val="134"/>
      </rPr>
      <t xml:space="preserve">健康营养（70471）五禽戏（21344）气血（72702）睡眠（49727）
</t>
    </r>
    <r>
      <rPr>
        <b/>
        <sz val="18"/>
        <color rgb="FFF54A45"/>
        <rFont val="Calibri"/>
        <charset val="134"/>
      </rPr>
      <t xml:space="preserve">2025年9月15日—2026年3月29日
</t>
    </r>
    <r>
      <rPr>
        <sz val="18"/>
        <color rgb="FF000000"/>
        <rFont val="Calibri"/>
        <charset val="134"/>
      </rPr>
      <t>太极SA(178992)</t>
    </r>
  </si>
  <si>
    <r>
      <rPr>
        <b/>
        <sz val="18"/>
        <color rgb="FF000000"/>
        <rFont val="Calibri"/>
        <charset val="134"/>
      </rPr>
      <t xml:space="preserve">【存量】
2023年1月—2025年3月16日
</t>
    </r>
    <r>
      <rPr>
        <sz val="18"/>
        <color rgb="FF000000"/>
        <rFont val="Calibri"/>
        <charset val="134"/>
      </rPr>
      <t>手机摄影BCD、短视频（120840）</t>
    </r>
  </si>
  <si>
    <t>影像一点通
（风光摄影助教）</t>
  </si>
  <si>
    <t>元气直播（健康食养）</t>
  </si>
  <si>
    <r>
      <rPr>
        <b/>
        <sz val="18"/>
        <color rgb="FFFFFFFF"/>
        <rFont val="等线"/>
        <charset val="134"/>
        <scheme val="minor"/>
      </rPr>
      <t xml:space="preserve">3.16睡眠助教
</t>
    </r>
    <r>
      <rPr>
        <sz val="10"/>
        <rFont val="宋体"/>
        <charset val="134"/>
      </rPr>
      <t xml:space="preserve">单课ID：123743136710
</t>
    </r>
    <r>
      <rPr>
        <sz val="10"/>
        <rFont val="宋体"/>
        <charset val="134"/>
      </rPr>
      <t>预约链接：</t>
    </r>
    <r>
      <rPr>
        <b/>
        <u/>
        <sz val="18"/>
        <color theme="10"/>
        <rFont val="Calibri"/>
        <charset val="134"/>
      </rPr>
      <t>https://s.xingqudao.net/SOYeQC2y</t>
    </r>
  </si>
  <si>
    <r>
      <rPr>
        <b/>
        <sz val="18"/>
        <color rgb="FFFFFFFF"/>
        <rFont val="等线"/>
        <charset val="134"/>
        <scheme val="minor"/>
      </rPr>
      <t xml:space="preserve">4.2一杰瑜伽
</t>
    </r>
    <r>
      <rPr>
        <sz val="10"/>
        <rFont val="宋体"/>
        <charset val="134"/>
      </rPr>
      <t xml:space="preserve">单课ID：123743273172
</t>
    </r>
    <r>
      <rPr>
        <sz val="10"/>
        <rFont val="宋体"/>
        <charset val="134"/>
      </rPr>
      <t>预约链接：</t>
    </r>
    <r>
      <rPr>
        <b/>
        <u/>
        <sz val="18"/>
        <color theme="10"/>
        <rFont val="Calibri"/>
        <charset val="134"/>
      </rPr>
      <t>https://s.xingqudao.net/SOYeQCHc</t>
    </r>
  </si>
  <si>
    <r>
      <rPr>
        <b/>
        <strike/>
        <sz val="18"/>
        <color rgb="FFFFFFFF"/>
        <rFont val="等线"/>
        <charset val="134"/>
        <scheme val="minor"/>
      </rPr>
      <t>电子琴</t>
    </r>
    <r>
      <rPr>
        <sz val="10"/>
        <rFont val="宋体"/>
        <charset val="134"/>
      </rPr>
      <t xml:space="preserve">
</t>
    </r>
    <r>
      <rPr>
        <b/>
        <strike/>
        <u/>
        <sz val="18"/>
        <color theme="10"/>
        <rFont val="Calibri"/>
        <charset val="134"/>
      </rPr>
      <t>https://s.xingqudao.net/SOYeQxpO</t>
    </r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</si>
  <si>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2023年1月—2026年3月22日
</t>
    </r>
    <r>
      <rPr>
        <sz val="18"/>
        <color rgb="FF000000"/>
        <rFont val="Calibri"/>
        <charset val="134"/>
      </rPr>
      <t xml:space="preserve">手机摄影SA(132988)
</t>
    </r>
    <r>
      <rPr>
        <b/>
        <sz val="18"/>
        <color rgb="FFF54A45"/>
        <rFont val="Calibri"/>
        <charset val="134"/>
      </rPr>
      <t xml:space="preserve">2025年9月15日—2026年3月29日
</t>
    </r>
    <r>
      <rPr>
        <sz val="18"/>
        <color rgb="FF000000"/>
        <rFont val="Calibri"/>
        <charset val="134"/>
      </rPr>
      <t xml:space="preserve">唱歌（234259）
</t>
    </r>
    <r>
      <rPr>
        <b/>
        <sz val="18"/>
        <color rgb="FFF54A45"/>
        <rFont val="Calibri"/>
        <charset val="134"/>
      </rPr>
      <t xml:space="preserve">2025年9月15日—2026年3月29日
</t>
    </r>
    <r>
      <rPr>
        <sz val="18"/>
        <color rgb="FF000000"/>
        <rFont val="Calibri"/>
        <charset val="134"/>
      </rPr>
      <t>短视频（106886）</t>
    </r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</si>
  <si>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2025年9月15日—2026年3月29日
</t>
    </r>
    <r>
      <rPr>
        <sz val="18"/>
        <color rgb="FF000000"/>
        <rFont val="Calibri"/>
        <charset val="134"/>
      </rPr>
      <t xml:space="preserve">太极BCD(251581)
</t>
    </r>
    <r>
      <rPr>
        <b/>
        <sz val="18"/>
        <color rgb="FFF54A45"/>
        <rFont val="Calibri"/>
        <charset val="134"/>
      </rPr>
      <t xml:space="preserve">2023年1月—2025年9月14日
</t>
    </r>
    <r>
      <rPr>
        <sz val="18"/>
        <color rgb="FF000000"/>
        <rFont val="Calibri"/>
        <charset val="134"/>
      </rPr>
      <t>太极A(153210)</t>
    </r>
  </si>
  <si>
    <r>
      <rPr>
        <b/>
        <sz val="18"/>
        <color rgb="FFF54A45"/>
        <rFont val="Calibri"/>
        <charset val="134"/>
      </rPr>
      <t xml:space="preserve">【存量】
2023年1月—2025年9月14日
</t>
    </r>
    <r>
      <rPr>
        <sz val="18"/>
        <color rgb="FF000000"/>
        <rFont val="Calibri"/>
        <charset val="134"/>
      </rPr>
      <t>五禽戏、健康营养（227808）</t>
    </r>
  </si>
  <si>
    <r>
      <rPr>
        <sz val="18"/>
        <color rgb="FFF54A45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2025年9月15日—2026年3月29日
</t>
    </r>
    <r>
      <rPr>
        <sz val="18"/>
        <color rgb="FF000000"/>
        <rFont val="Calibri"/>
        <charset val="134"/>
      </rPr>
      <t>太极BCD(251581)</t>
    </r>
  </si>
  <si>
    <r>
      <rPr>
        <b/>
        <sz val="18"/>
        <color rgb="FFF54A45"/>
        <rFont val="Calibri"/>
        <charset val="134"/>
      </rPr>
      <t xml:space="preserve">【存量】
2023年1月—2026年3月29日
</t>
    </r>
    <r>
      <rPr>
        <sz val="18"/>
        <color rgb="FF000000"/>
        <rFont val="Calibri"/>
        <charset val="134"/>
      </rPr>
      <t>普拉提BCD(221410)</t>
    </r>
  </si>
  <si>
    <t>摄影美学 50000</t>
  </si>
  <si>
    <r>
      <rPr>
        <b/>
        <sz val="18"/>
        <color rgb="FFFFFFFF"/>
        <rFont val="等线"/>
        <charset val="134"/>
        <scheme val="minor"/>
      </rPr>
      <t xml:space="preserve">摄影美学复用4.1
</t>
    </r>
    <r>
      <rPr>
        <sz val="10"/>
        <rFont val="宋体"/>
        <charset val="134"/>
      </rPr>
      <t xml:space="preserve">单课ID：123742849367
</t>
    </r>
    <r>
      <rPr>
        <sz val="10"/>
        <rFont val="宋体"/>
        <charset val="134"/>
      </rPr>
      <t>预约链接：</t>
    </r>
    <r>
      <rPr>
        <b/>
        <u/>
        <sz val="18"/>
        <color theme="10"/>
        <rFont val="Calibri"/>
        <charset val="134"/>
      </rPr>
      <t>https://s.xingqudao.net/SOYeQCGQ</t>
    </r>
  </si>
  <si>
    <r>
      <rPr>
        <b/>
        <sz val="18"/>
        <color rgb="FFFFFFFF"/>
        <rFont val="等线"/>
        <charset val="134"/>
        <scheme val="minor"/>
      </rPr>
      <t xml:space="preserve">短视频复用3月10日
</t>
    </r>
    <r>
      <rPr>
        <sz val="10"/>
        <rFont val="宋体"/>
        <charset val="134"/>
      </rPr>
      <t xml:space="preserve">单课ID：123754479844
</t>
    </r>
    <r>
      <rPr>
        <sz val="10"/>
        <rFont val="宋体"/>
        <charset val="134"/>
      </rPr>
      <t>预约链接：</t>
    </r>
    <r>
      <rPr>
        <b/>
        <u/>
        <sz val="18"/>
        <color theme="10"/>
        <rFont val="Calibri"/>
        <charset val="134"/>
      </rPr>
      <t>https://s.xingqudao.net/SOYeQDus</t>
    </r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</si>
  <si>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2025年9月15日—2026年3月29日
</t>
    </r>
    <r>
      <rPr>
        <sz val="18"/>
        <color rgb="FF000000"/>
        <rFont val="Calibri"/>
        <charset val="134"/>
      </rPr>
      <t xml:space="preserve">手机摄影BCD（101139）
</t>
    </r>
    <r>
      <rPr>
        <b/>
        <sz val="18"/>
        <color rgb="FFF54A45"/>
        <rFont val="Calibri"/>
        <charset val="134"/>
      </rPr>
      <t xml:space="preserve">2023年1月—2025年9月14日
</t>
    </r>
    <r>
      <rPr>
        <sz val="18"/>
        <color rgb="FF000000"/>
        <rFont val="Calibri"/>
        <charset val="134"/>
      </rPr>
      <t>唱歌（240118）</t>
    </r>
  </si>
  <si>
    <r>
      <rPr>
        <sz val="18"/>
        <color rgb="FF000000"/>
        <rFont val="Calibri"/>
        <charset val="134"/>
      </rPr>
      <t xml:space="preserve">【存量】
</t>
    </r>
    <r>
      <rPr>
        <b/>
        <sz val="18"/>
        <color rgb="FFF54A45"/>
        <rFont val="Calibri"/>
        <charset val="134"/>
      </rPr>
      <t xml:space="preserve">2023年1月—2026年3月22日
</t>
    </r>
    <r>
      <rPr>
        <sz val="18"/>
        <color rgb="FF000000"/>
        <rFont val="Calibri"/>
        <charset val="134"/>
      </rPr>
      <t xml:space="preserve">手机摄影SA(132988)
</t>
    </r>
    <r>
      <rPr>
        <b/>
        <sz val="18"/>
        <color rgb="FFF54A45"/>
        <rFont val="Calibri"/>
        <charset val="134"/>
      </rPr>
      <t xml:space="preserve">2025年9月15日—2026年3月29日
</t>
    </r>
    <r>
      <rPr>
        <sz val="18"/>
        <color rgb="FF000000"/>
        <rFont val="Calibri"/>
        <charset val="134"/>
      </rPr>
      <t xml:space="preserve">唱歌（234259）
</t>
    </r>
    <r>
      <rPr>
        <b/>
        <sz val="18"/>
        <color rgb="FFF54A45"/>
        <rFont val="Calibri"/>
        <charset val="134"/>
      </rPr>
      <t xml:space="preserve">2025年3月17日—2025年9月14日
</t>
    </r>
    <r>
      <rPr>
        <sz val="18"/>
        <color rgb="FF000000"/>
        <rFont val="Calibri"/>
        <charset val="134"/>
      </rPr>
      <t xml:space="preserve">手机摄影BCD(32595)
</t>
    </r>
    <r>
      <rPr>
        <b/>
        <sz val="18"/>
        <color rgb="FFF54A45"/>
        <rFont val="Calibri"/>
        <charset val="134"/>
      </rPr>
      <t xml:space="preserve">2026年1月1日—2026年3月29日
</t>
    </r>
    <r>
      <rPr>
        <sz val="18"/>
        <color rgb="FF000000"/>
        <rFont val="Calibri"/>
        <charset val="134"/>
      </rPr>
      <t>国际声乐、摄影美学（28137）</t>
    </r>
  </si>
  <si>
    <t>【私域】-电子琴-千聊内部-0元-兴趣组-兴趣直播-直播弹幕【4.12直播】</t>
  </si>
  <si>
    <t>【私域】-电子琴-千聊内部-0元-兴趣组-兴趣直播-购物车链接【4.12直播】</t>
  </si>
  <si>
    <t>渠道三级类型</t>
  </si>
  <si>
    <t>免费-电子琴-千聊内部-矩阵私域-李慧-社群-兴趣组-兴趣直播-20260409</t>
  </si>
  <si>
    <r>
      <rPr>
        <u/>
        <sz val="12"/>
        <color theme="10"/>
        <rFont val="Calibri"/>
        <charset val="134"/>
      </rPr>
      <t>https://s.xingqudao.net/SOYeQyLX</t>
    </r>
  </si>
  <si>
    <t>210500_14206551_financing</t>
  </si>
  <si>
    <r>
      <rPr>
        <u/>
        <sz val="12"/>
        <color theme="10"/>
        <rFont val="Calibri"/>
        <charset val="134"/>
      </rPr>
      <t>https://t1.nicegoods.cn/financial/experience-plan-sku?launchId=123953560077&amp;wcl=210500_14206551_financing</t>
    </r>
  </si>
  <si>
    <t>免费-电子琴-千聊内部-矩阵私域-李慧-1v1-兴趣组-兴趣直播-20260409</t>
  </si>
  <si>
    <r>
      <rPr>
        <u/>
        <sz val="12"/>
        <color theme="10"/>
        <rFont val="Calibri"/>
        <charset val="134"/>
      </rPr>
      <t>https://s.xingqudao.net/SOYeQyLY</t>
    </r>
  </si>
  <si>
    <t>210500_14206552_financing</t>
  </si>
  <si>
    <r>
      <rPr>
        <u/>
        <sz val="12"/>
        <color theme="10"/>
        <rFont val="Calibri"/>
        <charset val="134"/>
      </rPr>
      <t>https://t1.nicegoods.cn/financial/experience-plan-sku?launchId=123953560077&amp;wcl=210500_14206552_financing</t>
    </r>
  </si>
  <si>
    <t>免费-电子琴-千聊内部-矩阵私域-李慧-朋友圈-兴趣组-兴趣直播-20260409</t>
  </si>
  <si>
    <r>
      <rPr>
        <u/>
        <sz val="12"/>
        <color theme="10"/>
        <rFont val="Calibri"/>
        <charset val="134"/>
      </rPr>
      <t>https://s.xingqudao.net/SOYeQyLa</t>
    </r>
  </si>
  <si>
    <t>210500_14206553_financing</t>
  </si>
  <si>
    <r>
      <rPr>
        <u/>
        <sz val="12"/>
        <color theme="10"/>
        <rFont val="Calibri"/>
        <charset val="134"/>
      </rPr>
      <t>https://t1.nicegoods.cn/financial/experience-plan-sku?launchId=123953560077&amp;wcl=210500_14206553_financing</t>
    </r>
  </si>
  <si>
    <t>免费-电子琴-千聊内部-矩阵私域-李慧-1v1-兴趣组-购物车链接-20260409</t>
  </si>
  <si>
    <r>
      <rPr>
        <u/>
        <sz val="12"/>
        <color theme="10"/>
        <rFont val="Calibri"/>
        <charset val="134"/>
      </rPr>
      <t>https://s.xingqudao.net/SOYeQyLb</t>
    </r>
  </si>
  <si>
    <t>210500_14206554_financing</t>
  </si>
  <si>
    <r>
      <rPr>
        <u/>
        <sz val="12"/>
        <color theme="10"/>
        <rFont val="Calibri"/>
        <charset val="134"/>
      </rPr>
      <t>https://t1.nicegoods.cn/financial/experience-plan-sku?launchId=123953560427&amp;wcl=210500_14206554_financing</t>
    </r>
  </si>
  <si>
    <t>睡眠调理（购物车链接）122958862062</t>
  </si>
  <si>
    <t>https://t1.nicegoods.cn/financial/experience-plan-sku?launchId=122958862062</t>
  </si>
  <si>
    <t>睡眠调理（社群专属）122957746739</t>
  </si>
  <si>
    <t>https://t1.nicegoods.cn/financial/experience-plan-sku?launchId=122957746739</t>
  </si>
  <si>
    <t>免费-道家睡眠-千聊内部-矩阵私域-莫静雯-1v1-健康组-节气养正直播-20260403</t>
  </si>
  <si>
    <t>210500_14203162_financing</t>
  </si>
  <si>
    <r>
      <rPr>
        <u/>
        <sz val="12"/>
        <color theme="10"/>
        <rFont val="Calibri"/>
        <charset val="134"/>
      </rPr>
      <t>https://t1.nicegoods.cn/financial/experience-plan-sku?launchId=122957746739&amp;wcl=210500_14203162_financing</t>
    </r>
  </si>
  <si>
    <r>
      <rPr>
        <u/>
        <sz val="12"/>
        <color theme="10"/>
        <rFont val="Calibri"/>
        <charset val="134"/>
      </rPr>
      <t>https://s.xingqudao.net/SOYeNig8</t>
    </r>
  </si>
  <si>
    <t>免费-道家睡眠-千聊内部-矩阵私域-莫静雯-社群-健康组-节气养正直播-20260403</t>
  </si>
  <si>
    <t>210500_14203163_financing</t>
  </si>
  <si>
    <r>
      <rPr>
        <u/>
        <sz val="12"/>
        <color theme="10"/>
        <rFont val="Calibri"/>
        <charset val="134"/>
      </rPr>
      <t>https://t1.nicegoods.cn/financial/experience-plan-sku?launchId=122957746739&amp;wcl=210500_14203163_financing</t>
    </r>
  </si>
  <si>
    <r>
      <rPr>
        <u/>
        <sz val="12"/>
        <color theme="10"/>
        <rFont val="Calibri"/>
        <charset val="134"/>
      </rPr>
      <t>https://s.xingqudao.net/SOYeNig9</t>
    </r>
  </si>
  <si>
    <t>免费-道家睡眠-千聊内部-矩阵私域-莫静雯-朋友圈-健康组-节气养正直播-20260403</t>
  </si>
  <si>
    <t>210500_14203164_financing</t>
  </si>
  <si>
    <r>
      <rPr>
        <u/>
        <sz val="12"/>
        <color theme="10"/>
        <rFont val="Calibri"/>
        <charset val="134"/>
      </rPr>
      <t>https://t1.nicegoods.cn/financial/experience-plan-sku?launchId=122957746739&amp;wcl=210500_14203164_financing</t>
    </r>
  </si>
  <si>
    <r>
      <rPr>
        <u/>
        <sz val="12"/>
        <color theme="10"/>
        <rFont val="Calibri"/>
        <charset val="134"/>
      </rPr>
      <t>https://s.xingqudao.net/SOYeNigA</t>
    </r>
  </si>
  <si>
    <t>免费-道家睡眠-千聊内部-矩阵私域-莫静雯-1v1-健康组-节气养正直播-购物车链接-20260403</t>
  </si>
  <si>
    <t>210500_14203165_financing</t>
  </si>
  <si>
    <r>
      <rPr>
        <u/>
        <sz val="12"/>
        <color theme="10"/>
        <rFont val="Calibri"/>
        <charset val="134"/>
      </rPr>
      <t>https://t1.nicegoods.cn/financial/experience-plan-sku?launchId=122958862062&amp;wcl=210500_14203165_financing</t>
    </r>
  </si>
  <si>
    <r>
      <rPr>
        <u/>
        <sz val="12"/>
        <color theme="10"/>
        <rFont val="Calibri"/>
        <charset val="134"/>
      </rPr>
      <t>https://s.xingqudao.net/SOYeNigB</t>
    </r>
  </si>
  <si>
    <t>逆龄女神瑜伽
4月11日</t>
  </si>
  <si>
    <t>逆龄女神瑜伽（购物车链接）122987649619</t>
  </si>
  <si>
    <t>【私域】-千聊内部-逆龄女神瑜伽-0元-4/11早间健康变美直播-购物车专属副本</t>
  </si>
  <si>
    <r>
      <rPr>
        <u/>
        <sz val="13.5"/>
        <color theme="10"/>
        <rFont val="Calibri"/>
        <charset val="134"/>
      </rPr>
      <t>https://p2.nicegoods.cn/financial/experience-plan-sku?launchId=122987649619</t>
    </r>
  </si>
  <si>
    <t>逆龄女神瑜伽（社群专属）122987649698</t>
  </si>
  <si>
    <t>【私域】-千聊内部-逆龄女神瑜伽-0元-4/11早间健康变美直播-社群专属副本</t>
  </si>
  <si>
    <r>
      <rPr>
        <u/>
        <sz val="13.5"/>
        <color theme="10"/>
        <rFont val="Calibri"/>
        <charset val="134"/>
      </rPr>
      <t>https://p2.nicegoods.cn/financial/experience-plan-sku?launchId=122987649698</t>
    </r>
  </si>
  <si>
    <t>免费-逆龄女神瑜伽-千聊内部-矩阵私域-刘芳-朋友圈-变美组-健康变美直播-20260403</t>
  </si>
  <si>
    <t>210500_14203247_financing</t>
  </si>
  <si>
    <r>
      <rPr>
        <u/>
        <sz val="12"/>
        <color theme="10"/>
        <rFont val="Calibri"/>
        <charset val="134"/>
      </rPr>
      <t>https://p2.nicegoods.cn/financial/experience-plan-sku?launchId=122987649698&amp;wcl=210500_14203247_financing</t>
    </r>
  </si>
  <si>
    <r>
      <rPr>
        <u/>
        <sz val="12"/>
        <color theme="10"/>
        <rFont val="Calibri"/>
        <charset val="134"/>
      </rPr>
      <t>https://s.xingqudao.net/SOYeNkYg</t>
    </r>
  </si>
  <si>
    <t>免费-逆龄女神瑜伽-千聊内部-矩阵私域-刘芳-社群-变美组-健康变美直播-20260403</t>
  </si>
  <si>
    <t>210500_14203248_financing</t>
  </si>
  <si>
    <r>
      <rPr>
        <u/>
        <sz val="12"/>
        <color theme="10"/>
        <rFont val="Calibri"/>
        <charset val="134"/>
      </rPr>
      <t>https://p2.nicegoods.cn/financial/experience-plan-sku?launchId=122987649698&amp;wcl=210500_14203248_financing</t>
    </r>
  </si>
  <si>
    <r>
      <rPr>
        <u/>
        <sz val="12"/>
        <color theme="10"/>
        <rFont val="Calibri"/>
        <charset val="134"/>
      </rPr>
      <t>https://s.xingqudao.net/SOYeNkYh</t>
    </r>
  </si>
  <si>
    <t>免费-逆龄女神瑜伽-千聊内部-矩阵私域-刘芳-1V1-变美组-健康变美直播-20260403</t>
  </si>
  <si>
    <t>210500_14203246_financing</t>
  </si>
  <si>
    <r>
      <rPr>
        <u/>
        <sz val="12"/>
        <color theme="10"/>
        <rFont val="Calibri"/>
        <charset val="134"/>
      </rPr>
      <t>https://p2.nicegoods.cn/financial/experience-plan-sku?launchId=122987649698&amp;wcl=210500_14203246_financing</t>
    </r>
  </si>
  <si>
    <r>
      <rPr>
        <u/>
        <sz val="12"/>
        <color theme="10"/>
        <rFont val="Calibri"/>
        <charset val="134"/>
      </rPr>
      <t>https://s.xingqudao.net/SOYeNkYf</t>
    </r>
  </si>
  <si>
    <t>免费-逆龄女神瑜伽-千聊内部-矩阵私域-刘芳-1V1-变美组-健康变美直播-购物车链接-20260403</t>
  </si>
  <si>
    <t>210500_14203244_financing</t>
  </si>
  <si>
    <r>
      <rPr>
        <u/>
        <sz val="12"/>
        <color theme="10"/>
        <rFont val="Calibri"/>
        <charset val="134"/>
      </rPr>
      <t>https://p2.nicegoods.cn/financial/experience-plan-sku?launchId=122987649619&amp;wcl=210500_14203244_financing</t>
    </r>
  </si>
  <si>
    <r>
      <rPr>
        <u/>
        <sz val="12"/>
        <color theme="10"/>
        <rFont val="Calibri"/>
        <charset val="134"/>
      </rPr>
      <t>https://s.xingqudao.net/SOYeNkYd</t>
    </r>
  </si>
  <si>
    <t>免费-逆龄女神瑜伽-千聊内部-矩阵私域-刘芳-1V1-变美组-健康变美直播-弹幕链接-20260403</t>
  </si>
  <si>
    <t>210500_14203245_financing</t>
  </si>
  <si>
    <r>
      <rPr>
        <u/>
        <sz val="12"/>
        <color theme="10"/>
        <rFont val="Calibri"/>
        <charset val="134"/>
      </rPr>
      <t>https://p2.nicegoods.cn/financial/experience-plan-sku?launchId=122987649698&amp;wcl=210500_14203245_financing</t>
    </r>
  </si>
  <si>
    <r>
      <rPr>
        <u/>
        <sz val="12"/>
        <color theme="10"/>
        <rFont val="Calibri"/>
        <charset val="134"/>
      </rPr>
      <t>https://s.xingqudao.net/SOYeNkYe</t>
    </r>
  </si>
  <si>
    <t>一杰瑜伽
4月11日</t>
  </si>
  <si>
    <t>一杰瑜伽（购物车链接）123605227100</t>
  </si>
  <si>
    <t>【私域】一杰瑜伽-千聊内部-0元-4/11晚间健康变美直播-购物车副本</t>
  </si>
  <si>
    <r>
      <rPr>
        <u/>
        <sz val="13.5"/>
        <color theme="10"/>
        <rFont val="Calibri"/>
        <charset val="134"/>
      </rPr>
      <t>https://m.bankangnet.com/financial/experience-plan-sku?launchId=123605227100</t>
    </r>
  </si>
  <si>
    <t>一杰瑜伽（社群专属）123605227132</t>
  </si>
  <si>
    <t>【私域】一杰瑜伽-千聊内部-0元-4/11晚间健康变美直播-弹幕副本</t>
  </si>
  <si>
    <r>
      <rPr>
        <u/>
        <sz val="13.5"/>
        <color theme="10"/>
        <rFont val="Calibri"/>
        <charset val="134"/>
      </rPr>
      <t>https://m.bankangnet.com/financial/experience-plan-sku?launchId=123605227132</t>
    </r>
  </si>
  <si>
    <t>免费-一杰瑜伽-千聊内部-矩阵私域-刘芳-朋友圈-变美组-健康变美直播-20260407</t>
  </si>
  <si>
    <t>210500_14204931_financing</t>
  </si>
  <si>
    <r>
      <rPr>
        <u/>
        <sz val="12"/>
        <color theme="10"/>
        <rFont val="Calibri"/>
        <charset val="134"/>
      </rPr>
      <t>https://m.bankangnet.com/financial/experience-plan-sku?launchId=123605227132&amp;wcl=210500_14204931_financing</t>
    </r>
  </si>
  <si>
    <r>
      <rPr>
        <u/>
        <sz val="12"/>
        <color theme="10"/>
        <rFont val="Calibri"/>
        <charset val="134"/>
      </rPr>
      <t>https://s.xingqudao.net/SOYePnPO</t>
    </r>
  </si>
  <si>
    <t>免费-一杰瑜伽-千聊内部-矩阵私域-刘芳-1V1-变美组-健康变美直播-20260407</t>
  </si>
  <si>
    <t>210500_14204930_financing</t>
  </si>
  <si>
    <r>
      <rPr>
        <u/>
        <sz val="12"/>
        <color theme="10"/>
        <rFont val="Calibri"/>
        <charset val="134"/>
      </rPr>
      <t>https://m.bankangnet.com/financial/experience-plan-sku?launchId=123605227132&amp;wcl=210500_14204930_financing</t>
    </r>
  </si>
  <si>
    <r>
      <rPr>
        <u/>
        <sz val="12"/>
        <color theme="10"/>
        <rFont val="Calibri"/>
        <charset val="134"/>
      </rPr>
      <t>https://s.xingqudao.net/SOYePnPN</t>
    </r>
  </si>
  <si>
    <t>免费-一杰瑜伽-千聊内部-矩阵私域-刘芳-社群-变美组-健康变美直播-20260407</t>
  </si>
  <si>
    <t>210500_14204932_financing</t>
  </si>
  <si>
    <r>
      <rPr>
        <u/>
        <sz val="12"/>
        <color theme="10"/>
        <rFont val="Calibri"/>
        <charset val="134"/>
      </rPr>
      <t>https://m.bankangnet.com/financial/experience-plan-sku?launchId=123605227132&amp;wcl=210500_14204932_financing</t>
    </r>
  </si>
  <si>
    <r>
      <rPr>
        <u/>
        <sz val="12"/>
        <color theme="10"/>
        <rFont val="Calibri"/>
        <charset val="134"/>
      </rPr>
      <t>https://s.xingqudao.net/SOYePnPP</t>
    </r>
  </si>
  <si>
    <t>免费-一杰瑜伽-千聊内部-矩阵私域-刘芳-1V1-变美组-健康变美直播-购物车链接-20260407</t>
  </si>
  <si>
    <t>210500_14204928_financing</t>
  </si>
  <si>
    <r>
      <rPr>
        <u/>
        <sz val="12"/>
        <color theme="10"/>
        <rFont val="Calibri"/>
        <charset val="134"/>
      </rPr>
      <t>https://m.bankangnet.com/financial/experience-plan-sku?launchId=123605227100&amp;wcl=210500_14204928_financing</t>
    </r>
  </si>
  <si>
    <r>
      <rPr>
        <u/>
        <sz val="12"/>
        <color theme="10"/>
        <rFont val="Calibri"/>
        <charset val="134"/>
      </rPr>
      <t>https://s.xingqudao.net/SOYePnPL</t>
    </r>
  </si>
  <si>
    <t>免费-一杰瑜伽-千聊内部-矩阵私域-刘芳-1V1-变美组-健康变美直播-弹幕链接-20260407</t>
  </si>
  <si>
    <t>210500_14204929_financing</t>
  </si>
  <si>
    <r>
      <rPr>
        <u/>
        <sz val="12"/>
        <color theme="10"/>
        <rFont val="Calibri"/>
        <charset val="134"/>
      </rPr>
      <t>https://m.bankangnet.com/financial/experience-plan-sku?launchId=123605227132&amp;wcl=210500_14204929_financing</t>
    </r>
  </si>
  <si>
    <r>
      <rPr>
        <u/>
        <sz val="12"/>
        <color theme="10"/>
        <rFont val="Calibri"/>
        <charset val="134"/>
      </rPr>
      <t>https://s.xingqudao.net/SOYePnPM</t>
    </r>
  </si>
  <si>
    <t>免费-一杰瑜伽-千聊内部-矩阵私域-刘芳-1V1-健康组-节气养正直播-20260407</t>
  </si>
  <si>
    <t>210500_14204933_financing</t>
  </si>
  <si>
    <r>
      <rPr>
        <u/>
        <sz val="12"/>
        <color theme="10"/>
        <rFont val="Calibri"/>
        <charset val="134"/>
      </rPr>
      <t>https://m.bankangnet.com/financial/experience-plan-sku?launchId=123605227132&amp;wcl=210500_14204933_financing</t>
    </r>
  </si>
  <si>
    <r>
      <rPr>
        <u/>
        <sz val="12"/>
        <color theme="10"/>
        <rFont val="Calibri"/>
        <charset val="134"/>
      </rPr>
      <t>https://s.xingqudao.net/SOYePnPQ</t>
    </r>
  </si>
  <si>
    <t>免费-一杰瑜伽-千聊内部-矩阵私域-刘芳-朋友圈-健康组-节气养正直播-20260407</t>
  </si>
  <si>
    <t>210500_14204934_financing</t>
  </si>
  <si>
    <r>
      <rPr>
        <u/>
        <sz val="12"/>
        <color theme="10"/>
        <rFont val="Calibri"/>
        <charset val="134"/>
      </rPr>
      <t>https://m.bankangnet.com/financial/experience-plan-sku?launchId=123605227132&amp;wcl=210500_14204934_financing</t>
    </r>
  </si>
  <si>
    <r>
      <rPr>
        <u/>
        <sz val="12"/>
        <color theme="10"/>
        <rFont val="Calibri"/>
        <charset val="134"/>
      </rPr>
      <t>https://s.xingqudao.net/SOYePnPR</t>
    </r>
  </si>
  <si>
    <t>免费-一杰瑜伽-千聊内部-矩阵私域-刘芳-社群-健康组-节气养正直播-20260407</t>
  </si>
  <si>
    <t>210500_14204935_financing</t>
  </si>
  <si>
    <r>
      <rPr>
        <u/>
        <sz val="12"/>
        <color theme="10"/>
        <rFont val="Calibri"/>
        <charset val="134"/>
      </rPr>
      <t>https://m.bankangnet.com/financial/experience-plan-sku?launchId=123605227132&amp;wcl=210500_14204935_financing</t>
    </r>
  </si>
  <si>
    <r>
      <rPr>
        <u/>
        <sz val="12"/>
        <color theme="10"/>
        <rFont val="Calibri"/>
        <charset val="134"/>
      </rPr>
      <t>https://s.xingqudao.net/SOYePnPS</t>
    </r>
  </si>
  <si>
    <t>4.10摄影美学</t>
  </si>
  <si>
    <t>【私域】-摄影美学-千聊内部-0元-兴趣组-兴趣直播-直播弹幕</t>
  </si>
  <si>
    <t>【私域】-摄影美学-千聊内部-0元-兴趣组-兴趣直播-购物车</t>
  </si>
  <si>
    <t>免费-摄影美学-千聊内部-矩阵私域-李慧-社群-兴趣组-兴趣直播-20260408</t>
  </si>
  <si>
    <r>
      <rPr>
        <u/>
        <sz val="12"/>
        <color theme="10"/>
        <rFont val="Calibri"/>
        <charset val="134"/>
      </rPr>
      <t>https://s.xingqudao.net/SOYeQEyH</t>
    </r>
  </si>
  <si>
    <t>210500_14205865_financing</t>
  </si>
  <si>
    <r>
      <rPr>
        <u/>
        <sz val="12"/>
        <color theme="10"/>
        <rFont val="Calibri"/>
        <charset val="134"/>
      </rPr>
      <t>https://t1.nicegoods.cn/financial/experience-plan-sku?launchId=123762788327&amp;wcl=210500_14205865_financing</t>
    </r>
  </si>
  <si>
    <t>免费-摄影美学-千聊内部-矩阵私域-李慧-1v1-兴趣组-兴趣直播-20260408</t>
  </si>
  <si>
    <r>
      <rPr>
        <u/>
        <sz val="12"/>
        <color theme="10"/>
        <rFont val="Calibri"/>
        <charset val="134"/>
      </rPr>
      <t>https://s.xingqudao.net/SOYeQEyI</t>
    </r>
  </si>
  <si>
    <t>210500_14205866_financing</t>
  </si>
  <si>
    <r>
      <rPr>
        <u/>
        <sz val="12"/>
        <color theme="10"/>
        <rFont val="Calibri"/>
        <charset val="134"/>
      </rPr>
      <t>https://t1.nicegoods.cn/financial/experience-plan-sku?launchId=123762788327&amp;wcl=210500_14205866_financing</t>
    </r>
  </si>
  <si>
    <t>免费-摄影美学-千聊内部-矩阵私域-李慧-朋友圈-兴趣组-兴趣直播-20260408</t>
  </si>
  <si>
    <r>
      <rPr>
        <u/>
        <sz val="12"/>
        <color theme="10"/>
        <rFont val="Calibri"/>
        <charset val="134"/>
      </rPr>
      <t>https://s.xingqudao.net/SOYeQEyJ</t>
    </r>
  </si>
  <si>
    <t>210500_14205867_financing</t>
  </si>
  <si>
    <r>
      <rPr>
        <u/>
        <sz val="12"/>
        <color theme="10"/>
        <rFont val="Calibri"/>
        <charset val="134"/>
      </rPr>
      <t>https://t1.nicegoods.cn/financial/experience-plan-sku?launchId=123762788327&amp;wcl=210500_14205867_financing</t>
    </r>
  </si>
  <si>
    <t>免费-摄影美学-千聊内部-矩阵私域-李慧-1v1-兴趣组-购物车链接-20260408</t>
  </si>
  <si>
    <r>
      <rPr>
        <u/>
        <sz val="12"/>
        <color theme="10"/>
        <rFont val="Calibri"/>
        <charset val="134"/>
      </rPr>
      <t>https://s.xingqudao.net/SOYeQEyK</t>
    </r>
  </si>
  <si>
    <t>210500_14205868_financing</t>
  </si>
  <si>
    <r>
      <rPr>
        <u/>
        <sz val="12"/>
        <color theme="10"/>
        <rFont val="Calibri"/>
        <charset val="134"/>
      </rPr>
      <t>https://t1.nicegoods.cn/financial/experience-plan-sku?launchId=123762788386&amp;wcl=210500_14205868_financing</t>
    </r>
  </si>
  <si>
    <t>4.11短视频</t>
  </si>
  <si>
    <t>【私域】-短视频-千聊内部-兴趣组-兴趣直播-直播弹幕</t>
  </si>
  <si>
    <t>【私域】-短视频-千聊内部-兴趣组-兴趣直播-购物车</t>
  </si>
  <si>
    <t>免费-短视频-千聊内部-矩阵私域-李慧-社群-兴趣组-兴趣直播-20260409</t>
  </si>
  <si>
    <r>
      <rPr>
        <u/>
        <sz val="12"/>
        <color theme="10"/>
        <rFont val="Calibri"/>
        <charset val="134"/>
      </rPr>
      <t>https://s.xingqudao.net/SOYeQp1f</t>
    </r>
  </si>
  <si>
    <t>210500_14206544_financing</t>
  </si>
  <si>
    <r>
      <rPr>
        <u/>
        <sz val="12"/>
        <color theme="10"/>
        <rFont val="Calibri"/>
        <charset val="134"/>
      </rPr>
      <t>https://t1.nicegoods.cn/financial/experience-plan-sku?launchId=123767683732&amp;wcl=210500_14206544_financing</t>
    </r>
  </si>
  <si>
    <t>免费-短视频-千聊内部-矩阵私域-李慧-1v1-兴趣组-兴趣直播-20260409</t>
  </si>
  <si>
    <r>
      <rPr>
        <u/>
        <sz val="12"/>
        <color theme="10"/>
        <rFont val="Calibri"/>
        <charset val="134"/>
      </rPr>
      <t>https://s.xingqudao.net/SOYeQp1m</t>
    </r>
  </si>
  <si>
    <t>210500_14206545_financing</t>
  </si>
  <si>
    <r>
      <rPr>
        <u/>
        <sz val="12"/>
        <color theme="10"/>
        <rFont val="Calibri"/>
        <charset val="134"/>
      </rPr>
      <t>https://t1.nicegoods.cn/financial/experience-plan-sku?launchId=123767683732&amp;wcl=210500_14206545_financing</t>
    </r>
  </si>
  <si>
    <t>免费-短视频-千聊内部-矩阵私域-李慧-朋友圈-兴趣组-兴趣直播-20260409</t>
  </si>
  <si>
    <r>
      <rPr>
        <u/>
        <sz val="12"/>
        <color theme="10"/>
        <rFont val="Calibri"/>
        <charset val="134"/>
      </rPr>
      <t>https://s.xingqudao.net/SOYeQp1t</t>
    </r>
  </si>
  <si>
    <t>210500_14206546_financing</t>
  </si>
  <si>
    <r>
      <rPr>
        <u/>
        <sz val="12"/>
        <color theme="10"/>
        <rFont val="Calibri"/>
        <charset val="134"/>
      </rPr>
      <t>https://t1.nicegoods.cn/financial/experience-plan-sku?launchId=123767683732&amp;wcl=210500_14206546_financing</t>
    </r>
  </si>
  <si>
    <t>免费-短视频-千聊内部-矩阵私域-李慧-1v1-兴趣组-购物车链接-20260409</t>
  </si>
  <si>
    <r>
      <rPr>
        <u/>
        <sz val="12"/>
        <color theme="10"/>
        <rFont val="Calibri"/>
        <charset val="134"/>
      </rPr>
      <t>https://s.xingqudao.net/SOYeQp1y</t>
    </r>
  </si>
  <si>
    <t>210500_14206547_financing</t>
  </si>
  <si>
    <r>
      <rPr>
        <u/>
        <sz val="12"/>
        <color theme="10"/>
        <rFont val="Calibri"/>
        <charset val="134"/>
      </rPr>
      <t>https://t1.nicegoods.cn/financial/experience-plan-sku?launchId=119499416271&amp;wcl=210500_14206547_financing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</si>
</sst>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103">
    <font>
      <sz val="10"/>
      <color theme="1"/>
      <name val="等线"/>
      <charset val="134"/>
      <scheme val="minor"/>
    </font>
    <font>
      <b/>
      <sz val="18"/>
      <color rgb="FFFFFFFF"/>
      <name val="等线"/>
      <charset val="134"/>
      <scheme val="minor"/>
    </font>
    <font>
      <b/>
      <sz val="18"/>
      <color rgb="FF1F2329"/>
      <name val="等线"/>
      <charset val="134"/>
      <scheme val="minor"/>
    </font>
    <font>
      <sz val="18"/>
      <color rgb="FF000000"/>
      <name val="等线"/>
      <charset val="134"/>
      <scheme val="minor"/>
    </font>
    <font>
      <b/>
      <sz val="18"/>
      <color rgb="FF000000"/>
      <name val="等线"/>
      <charset val="134"/>
      <scheme val="minor"/>
    </font>
    <font>
      <b/>
      <sz val="18"/>
      <color rgb="FFF54A45"/>
      <name val="等线"/>
      <charset val="134"/>
      <scheme val="minor"/>
    </font>
    <font>
      <b/>
      <strike/>
      <sz val="18"/>
      <color rgb="FFFFFFFF"/>
      <name val="等线"/>
      <charset val="134"/>
      <scheme val="minor"/>
    </font>
    <font>
      <b/>
      <strike/>
      <sz val="18"/>
      <color rgb="FFF54A45"/>
      <name val="等线"/>
      <charset val="134"/>
      <scheme val="minor"/>
    </font>
    <font>
      <b/>
      <sz val="18"/>
      <color rgb="FF6425D0"/>
      <name val="等线"/>
      <charset val="134"/>
      <scheme val="minor"/>
    </font>
    <font>
      <strike/>
      <sz val="18"/>
      <color rgb="FF000000"/>
      <name val="等线"/>
      <charset val="134"/>
      <scheme val="minor"/>
    </font>
    <font>
      <b/>
      <sz val="18"/>
      <color rgb="FF667901"/>
      <name val="等线"/>
      <charset val="134"/>
      <scheme val="minor"/>
    </font>
    <font>
      <b/>
      <strike/>
      <sz val="18"/>
      <color rgb="FF1F2329"/>
      <name val="等线"/>
      <charset val="134"/>
      <scheme val="minor"/>
    </font>
    <font>
      <b/>
      <sz val="18"/>
      <color rgb="FFF01D94"/>
      <name val="等线"/>
      <charset val="134"/>
      <scheme val="minor"/>
    </font>
    <font>
      <b/>
      <sz val="18"/>
      <color rgb="FF3370FF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4"/>
      <color rgb="FF1F2329"/>
      <name val="等线"/>
      <charset val="134"/>
      <scheme val="minor"/>
    </font>
    <font>
      <sz val="11"/>
      <color rgb="FF1F2329"/>
      <name val="等线"/>
      <charset val="134"/>
      <scheme val="minor"/>
    </font>
    <font>
      <b/>
      <sz val="14"/>
      <color rgb="FFFFFFFF"/>
      <name val="等线"/>
      <charset val="134"/>
      <scheme val="minor"/>
    </font>
    <font>
      <b/>
      <sz val="14"/>
      <color rgb="FF1F2329"/>
      <name val="等线"/>
      <charset val="134"/>
      <scheme val="minor"/>
    </font>
    <font>
      <b/>
      <sz val="24"/>
      <color rgb="FFFFFFFF"/>
      <name val="等线"/>
      <charset val="134"/>
      <scheme val="minor"/>
    </font>
    <font>
      <b/>
      <sz val="12"/>
      <color rgb="FFFFFFFF"/>
      <name val="等线"/>
      <charset val="134"/>
      <scheme val="minor"/>
    </font>
    <font>
      <b/>
      <sz val="14"/>
      <color rgb="FF000000"/>
      <name val="等线"/>
      <charset val="134"/>
      <scheme val="minor"/>
    </font>
    <font>
      <b/>
      <sz val="11"/>
      <color rgb="FFF54A45"/>
      <name val="等线"/>
      <charset val="134"/>
      <scheme val="minor"/>
    </font>
    <font>
      <sz val="12"/>
      <color rgb="FF1F2329"/>
      <name val="等线"/>
      <charset val="134"/>
      <scheme val="minor"/>
    </font>
    <font>
      <sz val="12"/>
      <color rgb="FFFF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4"/>
      <color rgb="FF000000"/>
      <name val="等线"/>
      <charset val="134"/>
      <scheme val="minor"/>
    </font>
    <font>
      <b/>
      <sz val="16"/>
      <color rgb="FFFFFFFF"/>
      <name val="等线"/>
      <charset val="134"/>
      <scheme val="minor"/>
    </font>
    <font>
      <b/>
      <sz val="14"/>
      <color rgb="FFF54A45"/>
      <name val="等线"/>
      <charset val="134"/>
      <scheme val="minor"/>
    </font>
    <font>
      <b/>
      <sz val="12"/>
      <color rgb="FF1F2329"/>
      <name val="等线"/>
      <charset val="134"/>
      <scheme val="minor"/>
    </font>
    <font>
      <b/>
      <sz val="16"/>
      <color rgb="FF1F2329"/>
      <name val="等线"/>
      <charset val="134"/>
      <scheme val="minor"/>
    </font>
    <font>
      <sz val="12"/>
      <color rgb="FF000000"/>
      <name val="宋体"/>
      <charset val="134"/>
    </font>
    <font>
      <b/>
      <sz val="11"/>
      <color rgb="FF1F2329"/>
      <name val="等线"/>
      <charset val="134"/>
      <scheme val="minor"/>
    </font>
    <font>
      <sz val="16"/>
      <color rgb="FF000000"/>
      <name val="等线"/>
      <charset val="134"/>
      <scheme val="minor"/>
    </font>
    <font>
      <b/>
      <sz val="18"/>
      <color rgb="FFD83931"/>
      <name val="等线"/>
      <charset val="134"/>
      <scheme val="minor"/>
    </font>
    <font>
      <b/>
      <sz val="12"/>
      <color rgb="FFD83931"/>
      <name val="等线"/>
      <charset val="134"/>
      <scheme val="minor"/>
    </font>
    <font>
      <b/>
      <sz val="12"/>
      <color rgb="FFF54A45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F54A45"/>
      <name val="等线"/>
      <charset val="134"/>
      <scheme val="minor"/>
    </font>
    <font>
      <sz val="18"/>
      <color rgb="FFFFFFFF"/>
      <name val="等线"/>
      <charset val="134"/>
      <scheme val="minor"/>
    </font>
    <font>
      <sz val="14"/>
      <color rgb="FFF54A45"/>
      <name val="等线"/>
      <charset val="134"/>
      <scheme val="minor"/>
    </font>
    <font>
      <sz val="14"/>
      <color rgb="FFFFFFFF"/>
      <name val="等线"/>
      <charset val="134"/>
      <scheme val="minor"/>
    </font>
    <font>
      <sz val="18"/>
      <color rgb="FFF54A45"/>
      <name val="等线"/>
      <charset val="134"/>
      <scheme val="minor"/>
    </font>
    <font>
      <sz val="18"/>
      <color rgb="FF1F2329"/>
      <name val="等线"/>
      <charset val="134"/>
      <scheme val="minor"/>
    </font>
    <font>
      <b/>
      <sz val="24"/>
      <color rgb="FF000000"/>
      <name val="等线"/>
      <charset val="134"/>
      <scheme val="minor"/>
    </font>
    <font>
      <sz val="24"/>
      <color rgb="FF000000"/>
      <name val="等线"/>
      <charset val="134"/>
      <scheme val="minor"/>
    </font>
    <font>
      <b/>
      <sz val="24"/>
      <color rgb="FF1F2329"/>
      <name val="等线"/>
      <charset val="134"/>
      <scheme val="minor"/>
    </font>
    <font>
      <b/>
      <sz val="24"/>
      <color rgb="FF6425D0"/>
      <name val="等线"/>
      <charset val="134"/>
      <scheme val="minor"/>
    </font>
    <font>
      <b/>
      <sz val="24"/>
      <color rgb="FF667901"/>
      <name val="等线"/>
      <charset val="134"/>
      <scheme val="minor"/>
    </font>
    <font>
      <b/>
      <sz val="24"/>
      <color rgb="FFF01D94"/>
      <name val="等线"/>
      <charset val="134"/>
      <scheme val="minor"/>
    </font>
    <font>
      <sz val="24"/>
      <color rgb="FFFFFFFF"/>
      <name val="等线"/>
      <charset val="134"/>
      <scheme val="minor"/>
    </font>
    <font>
      <sz val="24"/>
      <color rgb="FF1F2329"/>
      <name val="等线"/>
      <charset val="134"/>
      <scheme val="minor"/>
    </font>
    <font>
      <sz val="24"/>
      <color rgb="FFF54A45"/>
      <name val="等线"/>
      <charset val="134"/>
      <scheme val="minor"/>
    </font>
    <font>
      <b/>
      <sz val="24"/>
      <color rgb="FFF54A4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2"/>
      <color theme="10"/>
      <name val="宋体"/>
      <charset val="134"/>
    </font>
    <font>
      <sz val="18"/>
      <color rgb="FF000000"/>
      <name val="Calibri"/>
      <charset val="134"/>
    </font>
    <font>
      <b/>
      <sz val="18"/>
      <color rgb="FFF54A45"/>
      <name val="Calibri"/>
      <charset val="134"/>
    </font>
    <font>
      <u/>
      <sz val="13.5"/>
      <color theme="10"/>
      <name val="Calibri"/>
      <charset val="134"/>
    </font>
    <font>
      <u/>
      <sz val="12"/>
      <color theme="10"/>
      <name val="Calibri"/>
      <charset val="134"/>
    </font>
    <font>
      <sz val="10"/>
      <name val="宋体"/>
      <charset val="134"/>
    </font>
    <font>
      <b/>
      <u/>
      <sz val="15.75"/>
      <color theme="10"/>
      <name val="Calibri"/>
      <charset val="134"/>
    </font>
    <font>
      <b/>
      <u/>
      <sz val="18"/>
      <color theme="10"/>
      <name val="Calibri"/>
      <charset val="134"/>
    </font>
    <font>
      <b/>
      <sz val="18"/>
      <color rgb="FF1F2329"/>
      <name val="Calibri"/>
      <charset val="134"/>
    </font>
    <font>
      <b/>
      <sz val="30"/>
      <color rgb="FFF54A45"/>
      <name val="Calibri"/>
      <charset val="134"/>
    </font>
    <font>
      <b/>
      <sz val="13.5"/>
      <color rgb="FF1F2329"/>
      <name val="Calibri"/>
      <charset val="134"/>
    </font>
    <font>
      <b/>
      <sz val="13.5"/>
      <color rgb="FFF54A45"/>
      <name val="Calibri"/>
      <charset val="134"/>
    </font>
    <font>
      <u/>
      <sz val="10.5"/>
      <color theme="10"/>
      <name val="Calibri"/>
      <charset val="134"/>
    </font>
    <font>
      <b/>
      <sz val="18"/>
      <color rgb="FF000000"/>
      <name val="Calibri"/>
      <charset val="134"/>
    </font>
    <font>
      <b/>
      <sz val="10.5"/>
      <color rgb="FF1F2329"/>
      <name val="Calibri"/>
      <charset val="134"/>
    </font>
    <font>
      <b/>
      <u/>
      <sz val="13.5"/>
      <color theme="10"/>
      <name val="Calibri"/>
      <charset val="134"/>
    </font>
    <font>
      <sz val="18"/>
      <color rgb="FFF54A45"/>
      <name val="Calibri"/>
      <charset val="134"/>
    </font>
    <font>
      <sz val="13.5"/>
      <color rgb="FF1F2329"/>
      <name val="Calibri"/>
      <charset val="134"/>
    </font>
    <font>
      <sz val="24"/>
      <color rgb="FF000000"/>
      <name val="Calibri"/>
      <charset val="134"/>
    </font>
    <font>
      <sz val="24"/>
      <color rgb="FFF54A45"/>
      <name val="Calibri"/>
      <charset val="134"/>
    </font>
    <font>
      <sz val="13.5"/>
      <color rgb="FF000000"/>
      <name val="Calibri"/>
      <charset val="134"/>
    </font>
    <font>
      <b/>
      <sz val="15.75"/>
      <color rgb="FF1F2329"/>
      <name val="Calibri"/>
      <charset val="134"/>
    </font>
    <font>
      <u/>
      <sz val="15.75"/>
      <color theme="10"/>
      <name val="Calibri"/>
      <charset val="134"/>
    </font>
    <font>
      <b/>
      <sz val="24"/>
      <color rgb="FF1F2329"/>
      <name val="Calibri"/>
      <charset val="134"/>
    </font>
    <font>
      <b/>
      <sz val="24"/>
      <color rgb="FFF54A45"/>
      <name val="Calibri"/>
      <charset val="134"/>
    </font>
    <font>
      <sz val="24"/>
      <color rgb="FF1F2329"/>
      <name val="Calibri"/>
      <charset val="134"/>
    </font>
    <font>
      <b/>
      <strike/>
      <u/>
      <sz val="18"/>
      <color theme="10"/>
      <name val="Calibri"/>
      <charset val="134"/>
    </font>
  </fonts>
  <fills count="65">
    <fill>
      <patternFill patternType="none"/>
    </fill>
    <fill>
      <patternFill patternType="gray125"/>
    </fill>
    <fill>
      <patternFill patternType="solid">
        <fgColor rgb="FF4E83FD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AD355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04B49C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F5FF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C3DD40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EDF5FF"/>
        <bgColor indexed="64"/>
      </patternFill>
    </fill>
    <fill>
      <patternFill patternType="solid">
        <fgColor rgb="FF6425D0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8FAC02"/>
        <bgColor indexed="64"/>
      </patternFill>
    </fill>
    <fill>
      <patternFill patternType="solid">
        <fgColor rgb="FFEFF6FD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AD82F7"/>
        <bgColor indexed="64"/>
      </patternFill>
    </fill>
    <fill>
      <patternFill patternType="solid">
        <fgColor rgb="FFF1F6FC"/>
        <bgColor indexed="64"/>
      </patternFill>
    </fill>
    <fill>
      <patternFill patternType="solid">
        <fgColor rgb="FFEEF5FE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14C0FF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EBEEF5"/>
      </right>
      <top/>
      <bottom style="thin">
        <color rgb="FFEBEEF5"/>
      </bottom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6" fillId="0" borderId="0" applyFont="0" applyFill="0" applyBorder="0" applyAlignment="0" applyProtection="0">
      <alignment vertical="center"/>
    </xf>
    <xf numFmtId="44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2" fontId="56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6" fillId="34" borderId="16" applyNumberFormat="0" applyFon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17" applyNumberFormat="0" applyFill="0" applyAlignment="0" applyProtection="0">
      <alignment vertical="center"/>
    </xf>
    <xf numFmtId="0" fontId="63" fillId="0" borderId="17" applyNumberFormat="0" applyFill="0" applyAlignment="0" applyProtection="0">
      <alignment vertical="center"/>
    </xf>
    <xf numFmtId="0" fontId="64" fillId="0" borderId="18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5" borderId="19" applyNumberFormat="0" applyAlignment="0" applyProtection="0">
      <alignment vertical="center"/>
    </xf>
    <xf numFmtId="0" fontId="66" fillId="36" borderId="20" applyNumberFormat="0" applyAlignment="0" applyProtection="0">
      <alignment vertical="center"/>
    </xf>
    <xf numFmtId="0" fontId="67" fillId="36" borderId="19" applyNumberFormat="0" applyAlignment="0" applyProtection="0">
      <alignment vertical="center"/>
    </xf>
    <xf numFmtId="0" fontId="68" fillId="37" borderId="21" applyNumberFormat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70" fillId="0" borderId="23" applyNumberFormat="0" applyFill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3" fillId="40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55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4" fillId="57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4" fillId="60" borderId="0" applyNumberFormat="0" applyBorder="0" applyAlignment="0" applyProtection="0">
      <alignment vertical="center"/>
    </xf>
    <xf numFmtId="0" fontId="74" fillId="61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4" fillId="64" borderId="0" applyNumberFormat="0" applyBorder="0" applyAlignment="0" applyProtection="0">
      <alignment vertical="center"/>
    </xf>
  </cellStyleXfs>
  <cellXfs count="30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57" fontId="1" fillId="2" borderId="1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1" fillId="7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4" fillId="9" borderId="9" xfId="0" applyFont="1" applyFill="1" applyBorder="1" applyAlignment="1">
      <alignment horizontal="center" vertical="center" wrapText="1"/>
    </xf>
    <xf numFmtId="0" fontId="14" fillId="9" borderId="10" xfId="0" applyFont="1" applyFill="1" applyBorder="1" applyAlignment="1">
      <alignment horizontal="center" vertical="center" wrapText="1"/>
    </xf>
    <xf numFmtId="0" fontId="15" fillId="0" borderId="0" xfId="0" applyFont="1" applyAlignment="1"/>
    <xf numFmtId="0" fontId="16" fillId="0" borderId="0" xfId="0" applyFont="1" applyAlignment="1">
      <alignment vertical="center"/>
    </xf>
    <xf numFmtId="0" fontId="17" fillId="10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11" borderId="0" xfId="0" applyFont="1" applyFill="1" applyAlignment="1"/>
    <xf numFmtId="0" fontId="14" fillId="12" borderId="0" xfId="0" applyFont="1" applyFill="1" applyAlignment="1">
      <alignment horizontal="center" vertical="center" wrapText="1"/>
    </xf>
    <xf numFmtId="0" fontId="15" fillId="13" borderId="0" xfId="0" applyFont="1" applyFill="1" applyAlignment="1"/>
    <xf numFmtId="0" fontId="14" fillId="14" borderId="0" xfId="0" applyFont="1" applyFill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vertical="center"/>
    </xf>
    <xf numFmtId="0" fontId="14" fillId="3" borderId="9" xfId="0" applyFont="1" applyFill="1" applyBorder="1" applyAlignment="1">
      <alignment horizontal="center" vertical="center" wrapText="1"/>
    </xf>
    <xf numFmtId="0" fontId="14" fillId="14" borderId="9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/>
    </xf>
    <xf numFmtId="0" fontId="21" fillId="3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57" fontId="22" fillId="2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5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5" fillId="0" borderId="11" xfId="0" applyFont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vertical="center"/>
    </xf>
    <xf numFmtId="0" fontId="1" fillId="6" borderId="1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15" fillId="0" borderId="8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8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6" fillId="0" borderId="8" xfId="0" applyFont="1" applyBorder="1" applyAlignment="1">
      <alignment vertical="center"/>
    </xf>
    <xf numFmtId="49" fontId="24" fillId="0" borderId="0" xfId="0" applyNumberFormat="1" applyFont="1" applyAlignment="1">
      <alignment horizontal="center" vertical="center"/>
    </xf>
    <xf numFmtId="0" fontId="15" fillId="20" borderId="0" xfId="0" applyFont="1" applyFill="1" applyAlignment="1"/>
    <xf numFmtId="0" fontId="14" fillId="21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right"/>
    </xf>
    <xf numFmtId="0" fontId="15" fillId="13" borderId="0" xfId="0" applyFont="1" applyFill="1" applyAlignment="1">
      <alignment horizontal="right"/>
    </xf>
    <xf numFmtId="0" fontId="14" fillId="9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12" xfId="0" applyFont="1" applyBorder="1" applyAlignment="1"/>
    <xf numFmtId="0" fontId="15" fillId="0" borderId="1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16" fillId="0" borderId="2" xfId="0" applyFont="1" applyBorder="1" applyAlignment="1">
      <alignment vertical="center"/>
    </xf>
    <xf numFmtId="0" fontId="4" fillId="2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5" fillId="0" borderId="0" xfId="0" applyFont="1" applyAlignment="1"/>
    <xf numFmtId="0" fontId="26" fillId="0" borderId="0" xfId="0" applyFont="1" applyAlignment="1"/>
    <xf numFmtId="0" fontId="25" fillId="13" borderId="0" xfId="0" applyFont="1" applyFill="1" applyAlignment="1"/>
    <xf numFmtId="0" fontId="26" fillId="13" borderId="0" xfId="0" applyFont="1" applyFill="1" applyAlignment="1"/>
    <xf numFmtId="0" fontId="15" fillId="23" borderId="0" xfId="0" applyFont="1" applyFill="1" applyAlignment="1"/>
    <xf numFmtId="0" fontId="22" fillId="2" borderId="5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57" fontId="22" fillId="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3" fillId="5" borderId="3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27" fillId="3" borderId="1" xfId="0" applyFont="1" applyFill="1" applyBorder="1" applyAlignment="1">
      <alignment horizontal="center" vertical="center" wrapText="1"/>
    </xf>
    <xf numFmtId="0" fontId="23" fillId="18" borderId="1" xfId="0" applyFont="1" applyFill="1" applyBorder="1" applyAlignment="1">
      <alignment horizontal="center" vertical="center" wrapText="1"/>
    </xf>
    <xf numFmtId="0" fontId="23" fillId="19" borderId="1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29" fillId="6" borderId="7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 wrapText="1"/>
    </xf>
    <xf numFmtId="0" fontId="14" fillId="0" borderId="7" xfId="0" applyFont="1" applyBorder="1" applyAlignment="1">
      <alignment vertical="center"/>
    </xf>
    <xf numFmtId="0" fontId="27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6" fillId="0" borderId="7" xfId="0" applyFont="1" applyBorder="1" applyAlignment="1">
      <alignment vertical="center"/>
    </xf>
    <xf numFmtId="0" fontId="20" fillId="0" borderId="14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8" fillId="0" borderId="8" xfId="0" applyFont="1" applyBorder="1" applyAlignment="1">
      <alignment vertical="center"/>
    </xf>
    <xf numFmtId="0" fontId="27" fillId="4" borderId="8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27" fillId="5" borderId="3" xfId="0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1" fillId="24" borderId="1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7" fillId="22" borderId="1" xfId="0" applyFont="1" applyFill="1" applyBorder="1" applyAlignment="1">
      <alignment horizontal="center" vertical="center" wrapText="1"/>
    </xf>
    <xf numFmtId="0" fontId="20" fillId="23" borderId="15" xfId="0" applyFont="1" applyFill="1" applyBorder="1" applyAlignment="1">
      <alignment horizontal="center" vertical="center" wrapText="1"/>
    </xf>
    <xf numFmtId="0" fontId="19" fillId="25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29" fillId="6" borderId="3" xfId="0" applyFont="1" applyFill="1" applyBorder="1" applyAlignment="1">
      <alignment horizontal="center" vertical="center" wrapText="1"/>
    </xf>
    <xf numFmtId="0" fontId="15" fillId="3" borderId="0" xfId="0" applyFont="1" applyFill="1" applyAlignment="1"/>
    <xf numFmtId="0" fontId="33" fillId="0" borderId="0" xfId="0" applyFont="1" applyAlignment="1"/>
    <xf numFmtId="0" fontId="14" fillId="26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right"/>
    </xf>
    <xf numFmtId="0" fontId="14" fillId="27" borderId="0" xfId="0" applyFont="1" applyFill="1" applyAlignment="1">
      <alignment horizontal="center" vertical="center" wrapText="1"/>
    </xf>
    <xf numFmtId="0" fontId="16" fillId="28" borderId="0" xfId="0" applyFont="1" applyFill="1" applyAlignment="1">
      <alignment vertical="center"/>
    </xf>
    <xf numFmtId="0" fontId="34" fillId="6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32" fillId="6" borderId="1" xfId="0" applyFont="1" applyFill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36" fillId="10" borderId="0" xfId="0" applyFont="1" applyFill="1" applyAlignment="1">
      <alignment horizontal="center" vertical="center"/>
    </xf>
    <xf numFmtId="0" fontId="37" fillId="10" borderId="0" xfId="0" applyFont="1" applyFill="1" applyAlignment="1">
      <alignment horizontal="center" vertical="center"/>
    </xf>
    <xf numFmtId="0" fontId="38" fillId="13" borderId="0" xfId="0" applyFont="1" applyFill="1" applyAlignment="1">
      <alignment horizontal="center" vertical="center" wrapText="1"/>
    </xf>
    <xf numFmtId="0" fontId="38" fillId="29" borderId="0" xfId="0" applyFont="1" applyFill="1" applyAlignment="1">
      <alignment horizontal="center" vertical="center" wrapText="1"/>
    </xf>
    <xf numFmtId="0" fontId="39" fillId="29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3" borderId="0" xfId="0" applyFont="1" applyFill="1" applyAlignment="1">
      <alignment horizontal="center" vertical="center"/>
    </xf>
    <xf numFmtId="0" fontId="16" fillId="30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top"/>
    </xf>
    <xf numFmtId="0" fontId="19" fillId="6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41" fillId="2" borderId="1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20" fillId="24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/>
    </xf>
    <xf numFmtId="0" fontId="43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20" fillId="23" borderId="1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3" xfId="0" applyFont="1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5" xfId="0" applyFont="1" applyBorder="1" applyAlignment="1">
      <alignment vertical="center" wrapText="1"/>
    </xf>
    <xf numFmtId="0" fontId="33" fillId="13" borderId="0" xfId="0" applyFont="1" applyFill="1" applyAlignment="1"/>
    <xf numFmtId="0" fontId="40" fillId="30" borderId="0" xfId="0" applyFont="1" applyFill="1" applyAlignment="1">
      <alignment horizontal="center" vertical="center"/>
    </xf>
    <xf numFmtId="0" fontId="16" fillId="31" borderId="0" xfId="0" applyFont="1" applyFill="1" applyAlignment="1">
      <alignment horizontal="center" vertical="center"/>
    </xf>
    <xf numFmtId="0" fontId="3" fillId="0" borderId="0" xfId="0" applyFont="1" applyAlignment="1"/>
    <xf numFmtId="58" fontId="3" fillId="0" borderId="0" xfId="0" applyNumberFormat="1" applyFont="1" applyAlignment="1"/>
    <xf numFmtId="0" fontId="4" fillId="5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1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left" vertical="center"/>
    </xf>
    <xf numFmtId="0" fontId="41" fillId="2" borderId="2" xfId="0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left" vertical="center"/>
    </xf>
    <xf numFmtId="0" fontId="45" fillId="0" borderId="2" xfId="0" applyFont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1" fillId="32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3" fillId="10" borderId="0" xfId="0" applyFont="1" applyFill="1" applyAlignment="1"/>
    <xf numFmtId="58" fontId="3" fillId="0" borderId="0" xfId="0" applyNumberFormat="1" applyFont="1" applyAlignment="1">
      <alignment horizontal="center"/>
    </xf>
    <xf numFmtId="0" fontId="33" fillId="3" borderId="0" xfId="0" applyFont="1" applyFill="1" applyAlignment="1"/>
    <xf numFmtId="0" fontId="15" fillId="0" borderId="0" xfId="0" applyFont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46" fillId="4" borderId="1" xfId="0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 vertical="center"/>
    </xf>
    <xf numFmtId="0" fontId="47" fillId="0" borderId="1" xfId="0" applyFont="1" applyBorder="1" applyAlignment="1">
      <alignment vertical="center"/>
    </xf>
    <xf numFmtId="0" fontId="47" fillId="0" borderId="1" xfId="0" applyFont="1" applyBorder="1" applyAlignment="1"/>
    <xf numFmtId="57" fontId="21" fillId="2" borderId="1" xfId="0" applyNumberFormat="1" applyFont="1" applyFill="1" applyBorder="1" applyAlignment="1">
      <alignment horizontal="center" vertical="center"/>
    </xf>
    <xf numFmtId="58" fontId="47" fillId="0" borderId="1" xfId="0" applyNumberFormat="1" applyFont="1" applyBorder="1" applyAlignment="1"/>
    <xf numFmtId="0" fontId="21" fillId="0" borderId="1" xfId="0" applyFont="1" applyBorder="1" applyAlignment="1">
      <alignment horizontal="center" vertical="center" wrapText="1"/>
    </xf>
    <xf numFmtId="0" fontId="46" fillId="5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left" vertical="center" wrapText="1"/>
    </xf>
    <xf numFmtId="0" fontId="51" fillId="0" borderId="1" xfId="0" applyFont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center" vertical="center" wrapText="1"/>
    </xf>
    <xf numFmtId="0" fontId="46" fillId="18" borderId="1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left" vertical="center" wrapText="1"/>
    </xf>
    <xf numFmtId="0" fontId="52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 wrapText="1"/>
    </xf>
    <xf numFmtId="0" fontId="46" fillId="19" borderId="1" xfId="0" applyFont="1" applyFill="1" applyBorder="1" applyAlignment="1">
      <alignment horizontal="center" vertical="center" wrapText="1"/>
    </xf>
    <xf numFmtId="0" fontId="48" fillId="23" borderId="1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vertical="center" wrapText="1"/>
    </xf>
    <xf numFmtId="0" fontId="55" fillId="0" borderId="1" xfId="0" applyFont="1" applyBorder="1" applyAlignment="1">
      <alignment horizontal="center" vertical="center" wrapText="1"/>
    </xf>
    <xf numFmtId="0" fontId="16" fillId="8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0" fillId="0" borderId="0" xfId="0"/>
    <xf numFmtId="0" fontId="40" fillId="8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t1.nicegoods.cn/financial/experience-plan-sku?launchId=129347299580" TargetMode="External"/><Relationship Id="rId88" Type="http://schemas.openxmlformats.org/officeDocument/2006/relationships/hyperlink" Target="https://t1.nicegoods.cn/financial/experience-plan-sku?launchId=129970161052&amp;wcl=210500_14234217_financing" TargetMode="External"/><Relationship Id="rId87" Type="http://schemas.openxmlformats.org/officeDocument/2006/relationships/hyperlink" Target="https://t1.nicegoods.cn/financial/experience-plan-sku?launchId=129791101605&amp;wcl=210500_14233943_financing" TargetMode="External"/><Relationship Id="rId86" Type="http://schemas.openxmlformats.org/officeDocument/2006/relationships/hyperlink" Target="https://s.xingqudao.net/SOYehkkJ" TargetMode="External"/><Relationship Id="rId85" Type="http://schemas.openxmlformats.org/officeDocument/2006/relationships/hyperlink" Target="https://s.xingqudao.net/SOYeg1UX" TargetMode="External"/><Relationship Id="rId84" Type="http://schemas.openxmlformats.org/officeDocument/2006/relationships/hyperlink" Target="https://s.xingqudao.net/SOYeiOnT" TargetMode="External"/><Relationship Id="rId83" Type="http://schemas.openxmlformats.org/officeDocument/2006/relationships/hyperlink" Target="https://s.xingqudao.net/SOYeh42b" TargetMode="External"/><Relationship Id="rId82" Type="http://schemas.openxmlformats.org/officeDocument/2006/relationships/hyperlink" Target="https://t1.nicegoods.cn/financial/experience-plan-sku?launchId=129970161032&amp;wcl=210500_14234216_financing" TargetMode="External"/><Relationship Id="rId81" Type="http://schemas.openxmlformats.org/officeDocument/2006/relationships/hyperlink" Target="https://t1.nicegoods.cn/financial/experience-plan-sku?launchId=129344398905&amp;wcl=210500_14233682_financing" TargetMode="External"/><Relationship Id="rId80" Type="http://schemas.openxmlformats.org/officeDocument/2006/relationships/hyperlink" Target="https://s.xingqudao.net/SOYehlLK" TargetMode="External"/><Relationship Id="rId8" Type="http://schemas.openxmlformats.org/officeDocument/2006/relationships/hyperlink" Target="https://t1.nicegoods.cn/financial/experience-plan-sku?launchId=129361105896&amp;wcl=210500_14233696_financing" TargetMode="External"/><Relationship Id="rId79" Type="http://schemas.openxmlformats.org/officeDocument/2006/relationships/hyperlink" Target="https://t1.nicegoods.cn/financial/experience-plan-sku?launchId=129361105896" TargetMode="External"/><Relationship Id="rId78" Type="http://schemas.openxmlformats.org/officeDocument/2006/relationships/hyperlink" Target="https://s.xingqudao.net/SOYeg1UV" TargetMode="External"/><Relationship Id="rId77" Type="http://schemas.openxmlformats.org/officeDocument/2006/relationships/hyperlink" Target="https://t1.nicegoods.cn/financial/experience-plan-sku?launchId=129344398905&amp;wcl=210500_14233681_financing" TargetMode="External"/><Relationship Id="rId76" Type="http://schemas.openxmlformats.org/officeDocument/2006/relationships/hyperlink" Target="https://t1.nicegoods.cn/financial/experience-plan-sku?launchId=129361105896&amp;wcl=210500_14233697_financing" TargetMode="External"/><Relationship Id="rId75" Type="http://schemas.openxmlformats.org/officeDocument/2006/relationships/hyperlink" Target="https://s.xingqudao.net/SOYeiLGI" TargetMode="External"/><Relationship Id="rId74" Type="http://schemas.openxmlformats.org/officeDocument/2006/relationships/hyperlink" Target="https://s.xingqudao.net/SOYehi4v" TargetMode="External"/><Relationship Id="rId73" Type="http://schemas.openxmlformats.org/officeDocument/2006/relationships/hyperlink" Target="https://t1.nicegoods.cn/financial/experience-plan-sku?launchId=130089008084&amp;wcl=210500_14235121_financing" TargetMode="External"/><Relationship Id="rId72" Type="http://schemas.openxmlformats.org/officeDocument/2006/relationships/hyperlink" Target="https://s.xingqudao.net/SOYeg1Ua" TargetMode="External"/><Relationship Id="rId71" Type="http://schemas.openxmlformats.org/officeDocument/2006/relationships/hyperlink" Target="https://t1.nicegoods.cn/financial/experience-plan-sku?launchId=129791101491&amp;wcl=210500_14233942_financing" TargetMode="External"/><Relationship Id="rId70" Type="http://schemas.openxmlformats.org/officeDocument/2006/relationships/hyperlink" Target="https://t1.nicegoods.cn/financial/experience-plan-sku?launchId=129361506776&amp;wcl=210500_14233692_financing" TargetMode="External"/><Relationship Id="rId7" Type="http://schemas.openxmlformats.org/officeDocument/2006/relationships/hyperlink" Target="https://t1.nicegoods.cn/financial/experience-plan-sku?launchId=129344398905&amp;wcl=210500_14235667_financing" TargetMode="External"/><Relationship Id="rId69" Type="http://schemas.openxmlformats.org/officeDocument/2006/relationships/hyperlink" Target="https://s.xingqudao.net/SOYehrPG" TargetMode="External"/><Relationship Id="rId68" Type="http://schemas.openxmlformats.org/officeDocument/2006/relationships/hyperlink" Target="https://s.xingqudao.net/SOYehleb" TargetMode="External"/><Relationship Id="rId67" Type="http://schemas.openxmlformats.org/officeDocument/2006/relationships/hyperlink" Target="https://s.xingqudao.net/SOYeg1KP" TargetMode="External"/><Relationship Id="rId66" Type="http://schemas.openxmlformats.org/officeDocument/2006/relationships/hyperlink" Target="https://t1.nicegoods.cn/financial/experience-plan-sku?launchId=129791101491&amp;wcl=210500_14233941_financing" TargetMode="External"/><Relationship Id="rId65" Type="http://schemas.openxmlformats.org/officeDocument/2006/relationships/hyperlink" Target="https://s.xingqudao.net/SOYein1C" TargetMode="External"/><Relationship Id="rId64" Type="http://schemas.openxmlformats.org/officeDocument/2006/relationships/hyperlink" Target="https://t1.nicegoods.cn/financial/experience-plan-sku?launchId=129970161052&amp;wcl=210500_14234219_financing" TargetMode="External"/><Relationship Id="rId63" Type="http://schemas.openxmlformats.org/officeDocument/2006/relationships/hyperlink" Target="https://s.xingqudao.net/SOYehi4w" TargetMode="External"/><Relationship Id="rId62" Type="http://schemas.openxmlformats.org/officeDocument/2006/relationships/hyperlink" Target="https://s.xingqudao.net/SOYehrPH" TargetMode="External"/><Relationship Id="rId61" Type="http://schemas.openxmlformats.org/officeDocument/2006/relationships/hyperlink" Target="https://t1.nicegoods.cn/financial/experience-plan-sku?launchId=129360804826&amp;wcl=210500_14233690_financing" TargetMode="External"/><Relationship Id="rId60" Type="http://schemas.openxmlformats.org/officeDocument/2006/relationships/hyperlink" Target="https://t1.nicegoods.cn/financial/experience-plan-sku?launchId=129970161052&amp;wcl=210500_14234218_financing" TargetMode="External"/><Relationship Id="rId6" Type="http://schemas.openxmlformats.org/officeDocument/2006/relationships/hyperlink" Target="https://s.xingqudao.net/SOYeiLCu" TargetMode="External"/><Relationship Id="rId59" Type="http://schemas.openxmlformats.org/officeDocument/2006/relationships/hyperlink" Target="https://t1.nicegoods.cn/financial/experience-plan-sku?launchId=129344398905" TargetMode="External"/><Relationship Id="rId58" Type="http://schemas.openxmlformats.org/officeDocument/2006/relationships/hyperlink" Target="https://s.xingqudao.net/SOYeg1KM" TargetMode="External"/><Relationship Id="rId57" Type="http://schemas.openxmlformats.org/officeDocument/2006/relationships/hyperlink" Target="https://s.xingqudao.net/SOYeg1KQ" TargetMode="External"/><Relationship Id="rId56" Type="http://schemas.openxmlformats.org/officeDocument/2006/relationships/hyperlink" Target="https://s.xingqudao.net/SOYeh42c" TargetMode="External"/><Relationship Id="rId55" Type="http://schemas.openxmlformats.org/officeDocument/2006/relationships/hyperlink" Target="https://t1.nicegoods.cn/financial/experience-plan-sku?launchId=129361105896&amp;wcl=210500_14233699_financing" TargetMode="External"/><Relationship Id="rId54" Type="http://schemas.openxmlformats.org/officeDocument/2006/relationships/hyperlink" Target="https://s.xingqudao.net/SOYehi4s" TargetMode="External"/><Relationship Id="rId53" Type="http://schemas.openxmlformats.org/officeDocument/2006/relationships/hyperlink" Target="https://s.xingqudao.net/SOYeg1UZ" TargetMode="External"/><Relationship Id="rId52" Type="http://schemas.openxmlformats.org/officeDocument/2006/relationships/hyperlink" Target="https://s.xingqudao.net/SOYeg1UU" TargetMode="External"/><Relationship Id="rId51" Type="http://schemas.openxmlformats.org/officeDocument/2006/relationships/hyperlink" Target="https://t1.nicegoods.cn/financial/experience-plan-sku?launchId=130244680630&amp;wcl=210500_14235455_financing" TargetMode="External"/><Relationship Id="rId50" Type="http://schemas.openxmlformats.org/officeDocument/2006/relationships/hyperlink" Target="https://s.xingqudao.net/SOYehrPE" TargetMode="External"/><Relationship Id="rId5" Type="http://schemas.openxmlformats.org/officeDocument/2006/relationships/hyperlink" Target="https://s.xingqudao.net/SOYeh42d" TargetMode="External"/><Relationship Id="rId49" Type="http://schemas.openxmlformats.org/officeDocument/2006/relationships/hyperlink" Target="https://s.xingqudao.net/SOYeg1UT" TargetMode="External"/><Relationship Id="rId48" Type="http://schemas.openxmlformats.org/officeDocument/2006/relationships/hyperlink" Target="https://t1.nicegoods.cn/financial/experience-plan-sku?launchId=129344398905&amp;wcl=210500_14233680_financing" TargetMode="External"/><Relationship Id="rId47" Type="http://schemas.openxmlformats.org/officeDocument/2006/relationships/hyperlink" Target="https://t1.nicegoods.cn/financial/experience-plan-sku?launchId=129970161052&amp;wcl=210500_14234220_financing" TargetMode="External"/><Relationship Id="rId46" Type="http://schemas.openxmlformats.org/officeDocument/2006/relationships/hyperlink" Target="https://s.xingqudao.net/SOYeg1Ub" TargetMode="External"/><Relationship Id="rId45" Type="http://schemas.openxmlformats.org/officeDocument/2006/relationships/hyperlink" Target="https://s.xingqudao.net/SOYeiOnU" TargetMode="External"/><Relationship Id="rId44" Type="http://schemas.openxmlformats.org/officeDocument/2006/relationships/hyperlink" Target="https://t1.nicegoods.cn/financial/experience-plan-sku?launchId=129791101491&amp;wcl=210500_14233940_financing" TargetMode="External"/><Relationship Id="rId43" Type="http://schemas.openxmlformats.org/officeDocument/2006/relationships/hyperlink" Target="https://s.xingqudao.net/SOYeg1KN" TargetMode="External"/><Relationship Id="rId42" Type="http://schemas.openxmlformats.org/officeDocument/2006/relationships/hyperlink" Target="https://t1.nicegoods.cn/financial/experience-plan-sku?launchId=129344398905&amp;wcl=210500_14233679_financing" TargetMode="External"/><Relationship Id="rId41" Type="http://schemas.openxmlformats.org/officeDocument/2006/relationships/hyperlink" Target="https://t1.nicegoods.cn/financial/experience-plan-sku?launchId=130244680630&amp;wcl=210500_14235451_financing" TargetMode="External"/><Relationship Id="rId40" Type="http://schemas.openxmlformats.org/officeDocument/2006/relationships/hyperlink" Target="https://t1.nicegoods.cn/financial/experience-plan-sku?launchId=129361506776" TargetMode="External"/><Relationship Id="rId4" Type="http://schemas.openxmlformats.org/officeDocument/2006/relationships/hyperlink" Target="https://t1.nicegoods.cn/financial/experience-plan-sku?launchId=129361506776&amp;wcl=210500_14233693_financing" TargetMode="External"/><Relationship Id="rId39" Type="http://schemas.openxmlformats.org/officeDocument/2006/relationships/hyperlink" Target="https://s.xingqudao.net/SOYeg1KO" TargetMode="External"/><Relationship Id="rId38" Type="http://schemas.openxmlformats.org/officeDocument/2006/relationships/hyperlink" Target="https://t1.nicegoods.cn/financial/experience-plan-sku?launchId=129360804826" TargetMode="External"/><Relationship Id="rId37" Type="http://schemas.openxmlformats.org/officeDocument/2006/relationships/hyperlink" Target="https://t1.nicegoods.cn/financial/experience-plan-sku?launchId=129347299580&amp;wcl=210500_14233678_financing" TargetMode="External"/><Relationship Id="rId36" Type="http://schemas.openxmlformats.org/officeDocument/2006/relationships/hyperlink" Target="https://s.xingqudao.net/SOYeh42e" TargetMode="External"/><Relationship Id="rId35" Type="http://schemas.openxmlformats.org/officeDocument/2006/relationships/hyperlink" Target="https://t1.nicegoods.cn/financial/experience-plan-sku?launchId=129360805488&amp;wcl=210500_14233695_financing" TargetMode="External"/><Relationship Id="rId34" Type="http://schemas.openxmlformats.org/officeDocument/2006/relationships/hyperlink" Target="https://s.xingqudao.net/SOYeiLCv" TargetMode="External"/><Relationship Id="rId33" Type="http://schemas.openxmlformats.org/officeDocument/2006/relationships/hyperlink" Target="https://t1.nicegoods.cn/financial/experience-plan-sku?launchId=130098516800&amp;wcl=210500_14235120_financing" TargetMode="External"/><Relationship Id="rId32" Type="http://schemas.openxmlformats.org/officeDocument/2006/relationships/hyperlink" Target="https://t1.nicegoods.cn/financial/experience-plan-sku?launchId=129361506776&amp;wcl=210500_14233691_financing" TargetMode="External"/><Relationship Id="rId31" Type="http://schemas.openxmlformats.org/officeDocument/2006/relationships/hyperlink" Target="https://s.xingqudao.net/SOYehi4t" TargetMode="External"/><Relationship Id="rId30" Type="http://schemas.openxmlformats.org/officeDocument/2006/relationships/hyperlink" Target="https://t1.nicegoods.cn/financial/experience-plan-sku?launchId=129970161032" TargetMode="External"/><Relationship Id="rId3" Type="http://schemas.openxmlformats.org/officeDocument/2006/relationships/hyperlink" Target="https://t1.nicegoods.cn/financial/experience-plan-sku?launchId=129361506776&amp;wcl=210500_14233694_financing" TargetMode="External"/><Relationship Id="rId29" Type="http://schemas.openxmlformats.org/officeDocument/2006/relationships/hyperlink" Target="https://s.xingqudao.net/SOYeg1Ud" TargetMode="External"/><Relationship Id="rId28" Type="http://schemas.openxmlformats.org/officeDocument/2006/relationships/hyperlink" Target="https://s.xingqudao.net/SOYehi4u" TargetMode="External"/><Relationship Id="rId27" Type="http://schemas.openxmlformats.org/officeDocument/2006/relationships/hyperlink" Target="https://s.xingqudao.net/SOYehrPD" TargetMode="External"/><Relationship Id="rId26" Type="http://schemas.openxmlformats.org/officeDocument/2006/relationships/hyperlink" Target="https://t1.nicegoods.cn/financial/experience-plan-sku?launchId=130098516800&amp;wcl=210500_14235122_financing" TargetMode="External"/><Relationship Id="rId25" Type="http://schemas.openxmlformats.org/officeDocument/2006/relationships/hyperlink" Target="https://t1.nicegoods.cn/financial/experience-plan-sku?launchId=129360805488" TargetMode="External"/><Relationship Id="rId24" Type="http://schemas.openxmlformats.org/officeDocument/2006/relationships/hyperlink" Target="https://s.xingqudao.net/SOYeg1UY" TargetMode="External"/><Relationship Id="rId23" Type="http://schemas.openxmlformats.org/officeDocument/2006/relationships/hyperlink" Target="https://s.xingqudao.net/SOYeiLCs" TargetMode="External"/><Relationship Id="rId22" Type="http://schemas.openxmlformats.org/officeDocument/2006/relationships/hyperlink" Target="https://t1.nicegoods.cn/financial/experience-plan-sku?launchId=129361105896&amp;wcl=210500_14233698_financing" TargetMode="External"/><Relationship Id="rId21" Type="http://schemas.openxmlformats.org/officeDocument/2006/relationships/hyperlink" Target="https://s.xingqudao.net/SOYeiOnV" TargetMode="External"/><Relationship Id="rId20" Type="http://schemas.openxmlformats.org/officeDocument/2006/relationships/hyperlink" Target="https://t1.nicegoods.cn/financial/experience-plan-sku?launchId=130244680630&amp;wcl=210500_14235452_financing" TargetMode="External"/><Relationship Id="rId2" Type="http://schemas.openxmlformats.org/officeDocument/2006/relationships/hyperlink" Target="https://s.xingqudao.net/SOYeg1Uc" TargetMode="External"/><Relationship Id="rId19" Type="http://schemas.openxmlformats.org/officeDocument/2006/relationships/hyperlink" Target="https://t1.nicegoods.cn/financial/experience-plan-sku?launchId=129344398905&amp;wcl=210500_14235669_financing" TargetMode="External"/><Relationship Id="rId18" Type="http://schemas.openxmlformats.org/officeDocument/2006/relationships/hyperlink" Target="https://t1.nicegoods.cn/financial/experience-plan-sku?launchId=130098516800&amp;wcl=210500_14235119_financing" TargetMode="External"/><Relationship Id="rId17" Type="http://schemas.openxmlformats.org/officeDocument/2006/relationships/hyperlink" Target="https://t1.nicegoods.cn/financial/experience-plan-sku?launchId=130098516800&amp;wcl=210500_14235118_financing" TargetMode="External"/><Relationship Id="rId16" Type="http://schemas.openxmlformats.org/officeDocument/2006/relationships/hyperlink" Target="https://t1.nicegoods.cn/financial/experience-plan-sku?launchId=130245278766&amp;wcl=210500_14235454_financing" TargetMode="External"/><Relationship Id="rId15" Type="http://schemas.openxmlformats.org/officeDocument/2006/relationships/hyperlink" Target="https://s.xingqudao.net/SOYehrPF" TargetMode="External"/><Relationship Id="rId14" Type="http://schemas.openxmlformats.org/officeDocument/2006/relationships/hyperlink" Target="https://t1.nicegoods.cn/financial/experience-plan-sku?launchId=129970161052" TargetMode="External"/><Relationship Id="rId13" Type="http://schemas.openxmlformats.org/officeDocument/2006/relationships/hyperlink" Target="https://t1.nicegoods.cn/financial/experience-plan-sku?launchId=130244680630&amp;wcl=210500_14235453_financing" TargetMode="External"/><Relationship Id="rId12" Type="http://schemas.openxmlformats.org/officeDocument/2006/relationships/hyperlink" Target="https://s.xingqudao.net/SOYehlWI" TargetMode="External"/><Relationship Id="rId11" Type="http://schemas.openxmlformats.org/officeDocument/2006/relationships/hyperlink" Target="https://t1.nicegoods.cn/financial/experience-plan-sku?launchId=129344398905&amp;wcl=210500_14235668_financing" TargetMode="External"/><Relationship Id="rId10" Type="http://schemas.openxmlformats.org/officeDocument/2006/relationships/hyperlink" Target="https://s.xingqudao.net/SOYeiLCr" TargetMode="External"/><Relationship Id="rId1" Type="http://schemas.openxmlformats.org/officeDocument/2006/relationships/hyperlink" Target="https://s.xingqudao.net/SOYeiLCt" TargetMode="Externa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hyperlink" Target="https://t1.nicegoods.cn/financial/experience-plan-sku?launchId=128913104461&amp;wcl=210500_14231209_financing" TargetMode="External"/><Relationship Id="rId8" Type="http://schemas.openxmlformats.org/officeDocument/2006/relationships/hyperlink" Target="https://t1.nicegoods.cn/financial/experience-plan-sku?launchId=128913104461&amp;wcl=210500_14231211_financing" TargetMode="External"/><Relationship Id="rId7" Type="http://schemas.openxmlformats.org/officeDocument/2006/relationships/hyperlink" Target="https://s.xingqudao.net/SOYeaj65" TargetMode="External"/><Relationship Id="rId6" Type="http://schemas.openxmlformats.org/officeDocument/2006/relationships/hyperlink" Target="https://s.xingqudao.net/SOYeemNQ" TargetMode="External"/><Relationship Id="rId5" Type="http://schemas.openxmlformats.org/officeDocument/2006/relationships/hyperlink" Target="https://t1.nicegoods.cn/financial/experience-plan-sku?launchId=128900908620" TargetMode="External"/><Relationship Id="rId4" Type="http://schemas.openxmlformats.org/officeDocument/2006/relationships/hyperlink" Target="https://t1.nicegoods.cn/financial/experience-plan-sku?launchId=128900908620&amp;wcl=210500_14231208_financing" TargetMode="External"/><Relationship Id="rId3" Type="http://schemas.openxmlformats.org/officeDocument/2006/relationships/hyperlink" Target="https://s.xingqudao.net/SOYeemNU" TargetMode="External"/><Relationship Id="rId2" Type="http://schemas.openxmlformats.org/officeDocument/2006/relationships/hyperlink" Target="https://s.xingqudao.net/SOYeemNS" TargetMode="External"/><Relationship Id="rId19" Type="http://schemas.openxmlformats.org/officeDocument/2006/relationships/hyperlink" Target="https://s.xingqudao.net/SOYeapwS" TargetMode="External"/><Relationship Id="rId18" Type="http://schemas.openxmlformats.org/officeDocument/2006/relationships/hyperlink" Target="https://s.xingqudao.net/SOYeemNT" TargetMode="External"/><Relationship Id="rId17" Type="http://schemas.openxmlformats.org/officeDocument/2006/relationships/hyperlink" Target="https://s.xingqudao.net/SOYeaq2o" TargetMode="External"/><Relationship Id="rId16" Type="http://schemas.openxmlformats.org/officeDocument/2006/relationships/hyperlink" Target="https://t1.nicegoods.cn/financial/experience-plan-sku?launchId=128913104461&amp;wcl=210500_14231210_financing" TargetMode="External"/><Relationship Id="rId15" Type="http://schemas.openxmlformats.org/officeDocument/2006/relationships/hyperlink" Target="https://t1.nicegoods.cn/financial/experience-plan-sku?launchId=128913104461" TargetMode="External"/><Relationship Id="rId14" Type="http://schemas.openxmlformats.org/officeDocument/2006/relationships/hyperlink" Target="https://s.xingqudao.net/SOYeaHs6" TargetMode="External"/><Relationship Id="rId13" Type="http://schemas.openxmlformats.org/officeDocument/2006/relationships/hyperlink" Target="https://t1.nicegoods.cn/financial/experience-plan-sku?launchId=128913104461&amp;wcl=210500_14231212_financing" TargetMode="External"/><Relationship Id="rId12" Type="http://schemas.openxmlformats.org/officeDocument/2006/relationships/hyperlink" Target="https://s.xingqudao.net/SOYeelF2" TargetMode="External"/><Relationship Id="rId11" Type="http://schemas.openxmlformats.org/officeDocument/2006/relationships/hyperlink" Target="https://s.xingqudao.net/SOYeemNR" TargetMode="External"/><Relationship Id="rId10" Type="http://schemas.openxmlformats.org/officeDocument/2006/relationships/hyperlink" Target="https://s.xingqudao.net/SOYeaHtt" TargetMode="External"/><Relationship Id="rId1" Type="http://schemas.openxmlformats.org/officeDocument/2006/relationships/hyperlink" Target="https://s.xingqudao.net/SOYeaj8Z" TargetMode="External"/></Relationships>
</file>

<file path=xl/worksheets/_rels/sheet9.xml.rels><?xml version="1.0" encoding="UTF-8" standalone="yes"?>
<Relationships xmlns="http://schemas.openxmlformats.org/package/2006/relationships"><Relationship Id="rId99" Type="http://schemas.openxmlformats.org/officeDocument/2006/relationships/hyperlink" Target="https://s.xingqudao.net/SOYebBdc" TargetMode="External"/><Relationship Id="rId98" Type="http://schemas.openxmlformats.org/officeDocument/2006/relationships/hyperlink" Target="https://t1.nicegoods.cn/financial/experience-plan-sku?launchId=127049051335&amp;wcl=210500_14226882_financing" TargetMode="External"/><Relationship Id="rId97" Type="http://schemas.openxmlformats.org/officeDocument/2006/relationships/hyperlink" Target="https://t1.nicegoods.cn/financial/experience-plan-sku?launchId=126681155578&amp;wcl=210500_14224225_financing" TargetMode="External"/><Relationship Id="rId96" Type="http://schemas.openxmlformats.org/officeDocument/2006/relationships/hyperlink" Target="https://s.xingqudao.net/SOYeak6Z" TargetMode="External"/><Relationship Id="rId95" Type="http://schemas.openxmlformats.org/officeDocument/2006/relationships/hyperlink" Target="https://s.xingqudao.net/SOYeak6U" TargetMode="External"/><Relationship Id="rId94" Type="http://schemas.openxmlformats.org/officeDocument/2006/relationships/hyperlink" Target="https://t1.nicegoods.cn/financial/experience-plan-sku?launchId=126681985933&amp;wcl=210500_14224242_financing" TargetMode="External"/><Relationship Id="rId93" Type="http://schemas.openxmlformats.org/officeDocument/2006/relationships/hyperlink" Target="https://t1.nicegoods.cn/financial/experience-plan-sku?launchId=127047680611&amp;wcl=210500_14226891_financing" TargetMode="External"/><Relationship Id="rId92" Type="http://schemas.openxmlformats.org/officeDocument/2006/relationships/hyperlink" Target="https://s.xingqudao.net/SOYeaj65" TargetMode="External"/><Relationship Id="rId91" Type="http://schemas.openxmlformats.org/officeDocument/2006/relationships/hyperlink" Target="https://s.xingqudao.net/SOYeaD9K" TargetMode="External"/><Relationship Id="rId90" Type="http://schemas.openxmlformats.org/officeDocument/2006/relationships/hyperlink" Target="https://s.xingqudao.net/SOYeak6X" TargetMode="External"/><Relationship Id="rId9" Type="http://schemas.openxmlformats.org/officeDocument/2006/relationships/hyperlink" Target="https://s.xingqudao.net/SOYeaD9k" TargetMode="External"/><Relationship Id="rId89" Type="http://schemas.openxmlformats.org/officeDocument/2006/relationships/hyperlink" Target="https://t1.nicegoods.cn/financial/experience-plan-sku?launchId=126681159030&amp;wcl=210500_14224246_financing" TargetMode="External"/><Relationship Id="rId88" Type="http://schemas.openxmlformats.org/officeDocument/2006/relationships/hyperlink" Target="https://s.xingqudao.net/SOYebBdP" TargetMode="External"/><Relationship Id="rId87" Type="http://schemas.openxmlformats.org/officeDocument/2006/relationships/hyperlink" Target="https://t1.nicegoods.cn/financial/experience-plan-sku?launchId=127047680611&amp;wcl=210500_14226889_financing" TargetMode="External"/><Relationship Id="rId86" Type="http://schemas.openxmlformats.org/officeDocument/2006/relationships/hyperlink" Target="https://s.xingqudao.net/SOYeaD9J" TargetMode="External"/><Relationship Id="rId85" Type="http://schemas.openxmlformats.org/officeDocument/2006/relationships/hyperlink" Target="https://t1.nicegoods.cn/financial/experience-plan-sku?launchId=126681155542&amp;wcl=210500_14224224_financing" TargetMode="External"/><Relationship Id="rId84" Type="http://schemas.openxmlformats.org/officeDocument/2006/relationships/hyperlink" Target="https://t1.nicegoods.cn/financial/experience-plan-sku?launchId=126759466187&amp;wcl=210500_14224988_financing" TargetMode="External"/><Relationship Id="rId83" Type="http://schemas.openxmlformats.org/officeDocument/2006/relationships/hyperlink" Target="https://s.xingqudao.net/SOYeak6O" TargetMode="External"/><Relationship Id="rId82" Type="http://schemas.openxmlformats.org/officeDocument/2006/relationships/hyperlink" Target="https://t1.nicegoods.cn/financial/experience-plan-sku?launchId=126901137841&amp;wcl=210500_14224935_financing" TargetMode="External"/><Relationship Id="rId81" Type="http://schemas.openxmlformats.org/officeDocument/2006/relationships/hyperlink" Target="https://s.xingqudao.net/SOYeak6W" TargetMode="External"/><Relationship Id="rId80" Type="http://schemas.openxmlformats.org/officeDocument/2006/relationships/hyperlink" Target="https://t1.nicegoods.cn/financial/experience-plan-sku?launchId=126901152344&amp;wcl=210500_14224930_financing" TargetMode="External"/><Relationship Id="rId8" Type="http://schemas.openxmlformats.org/officeDocument/2006/relationships/hyperlink" Target="https://s.xingqudao.net/SOYeaD9e" TargetMode="External"/><Relationship Id="rId79" Type="http://schemas.openxmlformats.org/officeDocument/2006/relationships/hyperlink" Target="https://t1.nicegoods.cn/financial/experience-plan-sku?launchId=127049051335&amp;wcl=210500_14226886_financing" TargetMode="External"/><Relationship Id="rId78" Type="http://schemas.openxmlformats.org/officeDocument/2006/relationships/hyperlink" Target="https://s.xingqudao.net/SOYeaD9l" TargetMode="External"/><Relationship Id="rId77" Type="http://schemas.openxmlformats.org/officeDocument/2006/relationships/hyperlink" Target="https://t1.nicegoods.cn/financial/experience-plan-sku?launchId=126724662127&amp;wcl=210500_14224240_financing" TargetMode="External"/><Relationship Id="rId76" Type="http://schemas.openxmlformats.org/officeDocument/2006/relationships/hyperlink" Target="https://s.xingqudao.net/SOYebBdR" TargetMode="External"/><Relationship Id="rId75" Type="http://schemas.openxmlformats.org/officeDocument/2006/relationships/hyperlink" Target="https://t1.nicegoods.cn/financial/experience-plan-sku?launchId=127049051335&amp;wcl=210500_14226883_financing" TargetMode="External"/><Relationship Id="rId74" Type="http://schemas.openxmlformats.org/officeDocument/2006/relationships/hyperlink" Target="https://s.xingqudao.net/SOYeaD9a" TargetMode="External"/><Relationship Id="rId73" Type="http://schemas.openxmlformats.org/officeDocument/2006/relationships/hyperlink" Target="https://t1.nicegoods.cn/financial/experience-plan-sku?launchId=127047682729&amp;wcl=210500_14226895_financing" TargetMode="External"/><Relationship Id="rId72" Type="http://schemas.openxmlformats.org/officeDocument/2006/relationships/hyperlink" Target="https://t1.nicegoods.cn/financial/experience-plan-sku?launchId=127049051370&amp;wcl=210500_14226885_financing" TargetMode="External"/><Relationship Id="rId71" Type="http://schemas.openxmlformats.org/officeDocument/2006/relationships/hyperlink" Target="https://s.xingqudao.net/SOYeaHds" TargetMode="External"/><Relationship Id="rId70" Type="http://schemas.openxmlformats.org/officeDocument/2006/relationships/hyperlink" Target="https://t1.nicegoods.cn/financial/experience-plan-sku?launchId=126759466187&amp;wcl=210500_14224990_financing" TargetMode="External"/><Relationship Id="rId7" Type="http://schemas.openxmlformats.org/officeDocument/2006/relationships/hyperlink" Target="https://t1.nicegoods.cn/financial/experience-plan-sku?launchId=126901033672&amp;wcl=210500_14224922_financing" TargetMode="External"/><Relationship Id="rId69" Type="http://schemas.openxmlformats.org/officeDocument/2006/relationships/hyperlink" Target="https://s.xingqudao.net/SOYeak6L" TargetMode="External"/><Relationship Id="rId68" Type="http://schemas.openxmlformats.org/officeDocument/2006/relationships/hyperlink" Target="https://s.xingqudao.net/SOYeaj4U" TargetMode="External"/><Relationship Id="rId67" Type="http://schemas.openxmlformats.org/officeDocument/2006/relationships/hyperlink" Target="https://t1.nicegoods.cn/financial/experience-plan-sku?launchId=126901152344&amp;wcl=210500_14224929_financing" TargetMode="External"/><Relationship Id="rId66" Type="http://schemas.openxmlformats.org/officeDocument/2006/relationships/hyperlink" Target="https://t1.nicegoods.cn/financial/experience-plan-sku?launchId=126901137841&amp;wcl=210500_14224936_financing" TargetMode="External"/><Relationship Id="rId65" Type="http://schemas.openxmlformats.org/officeDocument/2006/relationships/hyperlink" Target="https://t1.nicegoods.cn/financial/experience-plan-sku?launchId=126901137841&amp;wcl=210500_14224933_financing" TargetMode="External"/><Relationship Id="rId64" Type="http://schemas.openxmlformats.org/officeDocument/2006/relationships/hyperlink" Target="https://t1.nicegoods.cn/financial/experience-plan-sku?launchId=126901150898&amp;wcl=210500_14224926_financing" TargetMode="External"/><Relationship Id="rId63" Type="http://schemas.openxmlformats.org/officeDocument/2006/relationships/hyperlink" Target="https://t1.nicegoods.cn/financial/experience-plan-sku?launchId=126901152344&amp;wcl=210500_14224931_financing" TargetMode="External"/><Relationship Id="rId62" Type="http://schemas.openxmlformats.org/officeDocument/2006/relationships/hyperlink" Target="https://t1.nicegoods.cn/financial/experience-plan-sku?launchId=126901033672" TargetMode="External"/><Relationship Id="rId61" Type="http://schemas.openxmlformats.org/officeDocument/2006/relationships/hyperlink" Target="https://s.xingqudao.net/SOYeaD9L" TargetMode="External"/><Relationship Id="rId60" Type="http://schemas.openxmlformats.org/officeDocument/2006/relationships/hyperlink" Target="https://s.xingqudao.net/SOYebBdX" TargetMode="External"/><Relationship Id="rId6" Type="http://schemas.openxmlformats.org/officeDocument/2006/relationships/hyperlink" Target="https://t1.nicegoods.cn/financial/experience-plan-sku?launchId=126724662127&amp;wcl=210500_14224238_financing" TargetMode="External"/><Relationship Id="rId59" Type="http://schemas.openxmlformats.org/officeDocument/2006/relationships/hyperlink" Target="https://t1.nicegoods.cn/financial/experience-plan-sku?launchId=126724662127&amp;wcl=210500_14224239_financing" TargetMode="External"/><Relationship Id="rId58" Type="http://schemas.openxmlformats.org/officeDocument/2006/relationships/hyperlink" Target="https://s.xingqudao.net/SOYebBda" TargetMode="External"/><Relationship Id="rId57" Type="http://schemas.openxmlformats.org/officeDocument/2006/relationships/hyperlink" Target="https://s.xingqudao.net/SOYebBdU" TargetMode="External"/><Relationship Id="rId56" Type="http://schemas.openxmlformats.org/officeDocument/2006/relationships/hyperlink" Target="https://t1.nicegoods.cn/financial/experience-plan-sku?launchId=127047680611&amp;wcl=210500_14226888_financing" TargetMode="External"/><Relationship Id="rId55" Type="http://schemas.openxmlformats.org/officeDocument/2006/relationships/hyperlink" Target="https://t1.nicegoods.cn/financial/experience-plan-sku?launchId=126901137841" TargetMode="External"/><Relationship Id="rId54" Type="http://schemas.openxmlformats.org/officeDocument/2006/relationships/hyperlink" Target="https://t1.nicegoods.cn/financial/experience-plan-sku?launchId=126901137841&amp;wcl=210500_14224934_financing" TargetMode="External"/><Relationship Id="rId53" Type="http://schemas.openxmlformats.org/officeDocument/2006/relationships/hyperlink" Target="https://s.xingqudao.net/SOYeaHs6" TargetMode="External"/><Relationship Id="rId52" Type="http://schemas.openxmlformats.org/officeDocument/2006/relationships/hyperlink" Target="https://s.xingqudao.net/SOYeant2" TargetMode="External"/><Relationship Id="rId51" Type="http://schemas.openxmlformats.org/officeDocument/2006/relationships/hyperlink" Target="https://t1.nicegoods.cn/financial/experience-plan-sku?launchId=127047680611&amp;wcl=210500_14226887_financing" TargetMode="External"/><Relationship Id="rId50" Type="http://schemas.openxmlformats.org/officeDocument/2006/relationships/hyperlink" Target="https://s.xingqudao.net/SOYebBdW" TargetMode="External"/><Relationship Id="rId5" Type="http://schemas.openxmlformats.org/officeDocument/2006/relationships/hyperlink" Target="https://s.xingqudao.net/SOYeant7" TargetMode="External"/><Relationship Id="rId49" Type="http://schemas.openxmlformats.org/officeDocument/2006/relationships/hyperlink" Target="https://t1.nicegoods.cn/financial/experience-plan-sku?launchId=126905670620" TargetMode="External"/><Relationship Id="rId48" Type="http://schemas.openxmlformats.org/officeDocument/2006/relationships/hyperlink" Target="https://t1.nicegoods.cn/financial/experience-plan-sku?launchId=126901150898" TargetMode="External"/><Relationship Id="rId47" Type="http://schemas.openxmlformats.org/officeDocument/2006/relationships/hyperlink" Target="https://t1.nicegoods.cn/financial/experience-plan-sku?launchId=126901150898&amp;wcl=210500_14224925_financing" TargetMode="External"/><Relationship Id="rId46" Type="http://schemas.openxmlformats.org/officeDocument/2006/relationships/hyperlink" Target="https://s.xingqudao.net/SOYeak6S" TargetMode="External"/><Relationship Id="rId45" Type="http://schemas.openxmlformats.org/officeDocument/2006/relationships/hyperlink" Target="https://t1.nicegoods.cn/financial/experience-plan-sku?launchId=126901150898&amp;wcl=210500_14224924_financing" TargetMode="External"/><Relationship Id="rId44" Type="http://schemas.openxmlformats.org/officeDocument/2006/relationships/hyperlink" Target="https://s.xingqudao.net/SOYebBdd" TargetMode="External"/><Relationship Id="rId43" Type="http://schemas.openxmlformats.org/officeDocument/2006/relationships/hyperlink" Target="https://s.xingqudao.net/SOYeaD9f" TargetMode="External"/><Relationship Id="rId42" Type="http://schemas.openxmlformats.org/officeDocument/2006/relationships/hyperlink" Target="https://t1.nicegoods.cn/financial/experience-plan-sku?launchId=126901152344" TargetMode="External"/><Relationship Id="rId41" Type="http://schemas.openxmlformats.org/officeDocument/2006/relationships/hyperlink" Target="https://t1.nicegoods.cn/financial/experience-plan-sku?launchId=126759466187&amp;wcl=210500_14224989_financing" TargetMode="External"/><Relationship Id="rId40" Type="http://schemas.openxmlformats.org/officeDocument/2006/relationships/hyperlink" Target="https://t1.nicegoods.cn/financial/experience-plan-sku?launchId=126759466187&amp;wcl=210500_14224991_financing" TargetMode="External"/><Relationship Id="rId4" Type="http://schemas.openxmlformats.org/officeDocument/2006/relationships/hyperlink" Target="https://s.xingqudao.net/SOYebBdT" TargetMode="External"/><Relationship Id="rId39" Type="http://schemas.openxmlformats.org/officeDocument/2006/relationships/hyperlink" Target="https://s.xingqudao.net/SOYebBdb" TargetMode="External"/><Relationship Id="rId38" Type="http://schemas.openxmlformats.org/officeDocument/2006/relationships/hyperlink" Target="https://s.xingqudao.net/SOYeaj13" TargetMode="External"/><Relationship Id="rId37" Type="http://schemas.openxmlformats.org/officeDocument/2006/relationships/hyperlink" Target="https://t1.nicegoods.cn/financial/experience-plan-sku?launchId=126901033758" TargetMode="External"/><Relationship Id="rId36" Type="http://schemas.openxmlformats.org/officeDocument/2006/relationships/hyperlink" Target="https://t1.nicegoods.cn/financial/experience-plan-sku?launchId=126681983180&amp;wcl=210500_14224241_financing" TargetMode="External"/><Relationship Id="rId35" Type="http://schemas.openxmlformats.org/officeDocument/2006/relationships/hyperlink" Target="https://s.xingqudao.net/SOYebBdN" TargetMode="External"/><Relationship Id="rId34" Type="http://schemas.openxmlformats.org/officeDocument/2006/relationships/hyperlink" Target="https://s.xingqudao.net/SOYeaD9j" TargetMode="External"/><Relationship Id="rId33" Type="http://schemas.openxmlformats.org/officeDocument/2006/relationships/hyperlink" Target="https://t1.nicegoods.cn/financial/experience-plan-sku?launchId=126681155542&amp;wcl=210500_14224223_financing" TargetMode="External"/><Relationship Id="rId32" Type="http://schemas.openxmlformats.org/officeDocument/2006/relationships/hyperlink" Target="https://s.xingqudao.net/SOYeak6N" TargetMode="External"/><Relationship Id="rId31" Type="http://schemas.openxmlformats.org/officeDocument/2006/relationships/hyperlink" Target="https://t1.nicegoods.cn/financial/experience-plan-sku?launchId=127049053332&amp;wcl=210500_14226894_financing" TargetMode="External"/><Relationship Id="rId30" Type="http://schemas.openxmlformats.org/officeDocument/2006/relationships/hyperlink" Target="https://s.xingqudao.net/SOYeaHtt" TargetMode="External"/><Relationship Id="rId3" Type="http://schemas.openxmlformats.org/officeDocument/2006/relationships/hyperlink" Target="https://s.xingqudao.net/SOYeaD9h" TargetMode="External"/><Relationship Id="rId29" Type="http://schemas.openxmlformats.org/officeDocument/2006/relationships/hyperlink" Target="https://s.xingqudao.net/SOYebBdQ" TargetMode="External"/><Relationship Id="rId28" Type="http://schemas.openxmlformats.org/officeDocument/2006/relationships/hyperlink" Target="https://t1.nicegoods.cn/financial/experience-plan-sku?launchId=126681985933&amp;wcl=210500_14224243_financing" TargetMode="External"/><Relationship Id="rId27" Type="http://schemas.openxmlformats.org/officeDocument/2006/relationships/hyperlink" Target="https://s.xingqudao.net/SOYebBdS" TargetMode="External"/><Relationship Id="rId26" Type="http://schemas.openxmlformats.org/officeDocument/2006/relationships/hyperlink" Target="https://s.xingqudao.net/SOYeak6K" TargetMode="External"/><Relationship Id="rId25" Type="http://schemas.openxmlformats.org/officeDocument/2006/relationships/hyperlink" Target="https://t1.nicegoods.cn/financial/experience-plan-sku?launchId=126901150898&amp;wcl=210500_14224923_financing" TargetMode="External"/><Relationship Id="rId24" Type="http://schemas.openxmlformats.org/officeDocument/2006/relationships/hyperlink" Target="https://t1.nicegoods.cn/financial/experience-plan-sku?launchId=126681985933&amp;wcl=210500_14224244_financing" TargetMode="External"/><Relationship Id="rId23" Type="http://schemas.openxmlformats.org/officeDocument/2006/relationships/hyperlink" Target="https://s.xingqudao.net/SOYeaD9Z" TargetMode="External"/><Relationship Id="rId22" Type="http://schemas.openxmlformats.org/officeDocument/2006/relationships/hyperlink" Target="https://t1.nicegoods.cn/financial/experience-plan-sku?launchId=126681282912&amp;wcl=210500_14224249_financing" TargetMode="External"/><Relationship Id="rId21" Type="http://schemas.openxmlformats.org/officeDocument/2006/relationships/hyperlink" Target="https://s.xingqudao.net/SOYeaD9I" TargetMode="External"/><Relationship Id="rId20" Type="http://schemas.openxmlformats.org/officeDocument/2006/relationships/hyperlink" Target="https://t1.nicegoods.cn/financial/experience-plan-sku?launchId=126905670620&amp;wcl=210500_14224932_financing" TargetMode="External"/><Relationship Id="rId2" Type="http://schemas.openxmlformats.org/officeDocument/2006/relationships/hyperlink" Target="https://s.xingqudao.net/SOYeak6R" TargetMode="External"/><Relationship Id="rId19" Type="http://schemas.openxmlformats.org/officeDocument/2006/relationships/hyperlink" Target="https://s.xingqudao.net/SOYeak6G" TargetMode="External"/><Relationship Id="rId18" Type="http://schemas.openxmlformats.org/officeDocument/2006/relationships/hyperlink" Target="https://s.xingqudao.net/SOYeaD9i" TargetMode="External"/><Relationship Id="rId17" Type="http://schemas.openxmlformats.org/officeDocument/2006/relationships/hyperlink" Target="https://s.xingqudao.net/SOYeant6" TargetMode="External"/><Relationship Id="rId16" Type="http://schemas.openxmlformats.org/officeDocument/2006/relationships/hyperlink" Target="https://t1.nicegoods.cn/financial/experience-plan-sku?launchId=126901033758&amp;wcl=210500_14224927_financing" TargetMode="External"/><Relationship Id="rId15" Type="http://schemas.openxmlformats.org/officeDocument/2006/relationships/hyperlink" Target="https://s.xingqudao.net/SOYeapwS" TargetMode="External"/><Relationship Id="rId14" Type="http://schemas.openxmlformats.org/officeDocument/2006/relationships/hyperlink" Target="https://s.xingqudao.net/SOYeak6Q" TargetMode="External"/><Relationship Id="rId13" Type="http://schemas.openxmlformats.org/officeDocument/2006/relationships/hyperlink" Target="https://t1.nicegoods.cn/financial/experience-plan-sku?launchId=127049051335&amp;wcl=210500_14226884_financing" TargetMode="External"/><Relationship Id="rId12" Type="http://schemas.openxmlformats.org/officeDocument/2006/relationships/hyperlink" Target="https://t1.nicegoods.cn/financial/experience-plan-sku?launchId=126681159030&amp;wcl=210500_14224247_financing" TargetMode="External"/><Relationship Id="rId118" Type="http://schemas.openxmlformats.org/officeDocument/2006/relationships/hyperlink" Target="https://s.xingqudao.net/SOYeaD9c" TargetMode="External"/><Relationship Id="rId117" Type="http://schemas.openxmlformats.org/officeDocument/2006/relationships/hyperlink" Target="https://s.xingqudao.net/SOYebBdZ" TargetMode="External"/><Relationship Id="rId116" Type="http://schemas.openxmlformats.org/officeDocument/2006/relationships/hyperlink" Target="https://t1.nicegoods.cn/financial/experience-plan-sku?launchId=126681155542&amp;wcl=210500_14224222_financing" TargetMode="External"/><Relationship Id="rId115" Type="http://schemas.openxmlformats.org/officeDocument/2006/relationships/hyperlink" Target="https://t1.nicegoods.cn/financial/experience-plan-sku?launchId=127049053332&amp;wcl=210500_14226896_financing" TargetMode="External"/><Relationship Id="rId114" Type="http://schemas.openxmlformats.org/officeDocument/2006/relationships/hyperlink" Target="https://s.xingqudao.net/SOYeant1" TargetMode="External"/><Relationship Id="rId113" Type="http://schemas.openxmlformats.org/officeDocument/2006/relationships/hyperlink" Target="https://s.xingqudao.net/SOYeaD9b" TargetMode="External"/><Relationship Id="rId112" Type="http://schemas.openxmlformats.org/officeDocument/2006/relationships/hyperlink" Target="https://s.xingqudao.net/SOYeak6H" TargetMode="External"/><Relationship Id="rId111" Type="http://schemas.openxmlformats.org/officeDocument/2006/relationships/hyperlink" Target="https://s.xingqudao.net/SOYeak6J" TargetMode="External"/><Relationship Id="rId110" Type="http://schemas.openxmlformats.org/officeDocument/2006/relationships/hyperlink" Target="https://s.xingqudao.net/SOYeant4" TargetMode="External"/><Relationship Id="rId11" Type="http://schemas.openxmlformats.org/officeDocument/2006/relationships/hyperlink" Target="https://t1.nicegoods.cn/financial/experience-plan-sku?launchId=126901152344&amp;wcl=210500_14224928_financing" TargetMode="External"/><Relationship Id="rId109" Type="http://schemas.openxmlformats.org/officeDocument/2006/relationships/hyperlink" Target="https://s.xingqudao.net/SOYeak6E" TargetMode="External"/><Relationship Id="rId108" Type="http://schemas.openxmlformats.org/officeDocument/2006/relationships/hyperlink" Target="https://t1.nicegoods.cn/financial/experience-plan-sku?launchId=127049052330&amp;wcl=210500_14226890_financing" TargetMode="External"/><Relationship Id="rId107" Type="http://schemas.openxmlformats.org/officeDocument/2006/relationships/hyperlink" Target="https://s.xingqudao.net/SOYeaD9d" TargetMode="External"/><Relationship Id="rId106" Type="http://schemas.openxmlformats.org/officeDocument/2006/relationships/hyperlink" Target="https://t1.nicegoods.cn/financial/experience-plan-sku?launchId=126681159030&amp;wcl=210500_14224248_financing" TargetMode="External"/><Relationship Id="rId105" Type="http://schemas.openxmlformats.org/officeDocument/2006/relationships/hyperlink" Target="https://t1.nicegoods.cn/financial/experience-plan-sku?launchId=126759466187&amp;wcl=210500_14224987_financing" TargetMode="External"/><Relationship Id="rId104" Type="http://schemas.openxmlformats.org/officeDocument/2006/relationships/hyperlink" Target="https://s.xingqudao.net/SOYebBdV" TargetMode="External"/><Relationship Id="rId103" Type="http://schemas.openxmlformats.org/officeDocument/2006/relationships/hyperlink" Target="https://s.xingqudao.net/SOYeaHeq" TargetMode="External"/><Relationship Id="rId102" Type="http://schemas.openxmlformats.org/officeDocument/2006/relationships/hyperlink" Target="https://t1.nicegoods.cn/financial/experience-plan-sku?launchId=126681282838&amp;wcl=210500_14224245_financing" TargetMode="External"/><Relationship Id="rId101" Type="http://schemas.openxmlformats.org/officeDocument/2006/relationships/hyperlink" Target="https://s.xingqudao.net/SOYeaq2o" TargetMode="External"/><Relationship Id="rId100" Type="http://schemas.openxmlformats.org/officeDocument/2006/relationships/hyperlink" Target="https://t1.nicegoods.cn/financial/experience-plan-sku?launchId=127049053332&amp;wcl=210500_14226892_financing" TargetMode="External"/><Relationship Id="rId10" Type="http://schemas.openxmlformats.org/officeDocument/2006/relationships/hyperlink" Target="https://s.xingqudao.net/SOYeaj8Z" TargetMode="External"/><Relationship Id="rId1" Type="http://schemas.openxmlformats.org/officeDocument/2006/relationships/hyperlink" Target="https://t1.nicegoods.cn/financial/experience-plan-sku?launchId=127049053332&amp;wcl=210500_14226893_financing" TargetMode="Externa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hyperlink" Target="https://s.xingqudao.net/SOYeWgec" TargetMode="External"/><Relationship Id="rId8" Type="http://schemas.openxmlformats.org/officeDocument/2006/relationships/hyperlink" Target="https://t1.nicegoods.cn/financial/experience-plan-sku?launchId=125619137329&amp;wcl=210500_14219340_financing" TargetMode="External"/><Relationship Id="rId71" Type="http://schemas.openxmlformats.org/officeDocument/2006/relationships/hyperlink" Target="https://s.xingqudao.net/SOYeWgt4" TargetMode="External"/><Relationship Id="rId70" Type="http://schemas.openxmlformats.org/officeDocument/2006/relationships/hyperlink" Target="https://t1.nicegoods.cn/financial/experience-plan-sku?launchId=125524116633&amp;wcl=210500_14218931_financing" TargetMode="External"/><Relationship Id="rId7" Type="http://schemas.openxmlformats.org/officeDocument/2006/relationships/hyperlink" Target="https://s.xingqudao.net/SOYeWlP1" TargetMode="External"/><Relationship Id="rId69" Type="http://schemas.openxmlformats.org/officeDocument/2006/relationships/hyperlink" Target="https://s.xingqudao.net/SOYeYAFZ" TargetMode="External"/><Relationship Id="rId68" Type="http://schemas.openxmlformats.org/officeDocument/2006/relationships/hyperlink" Target="https://s.xingqudao.net/SOYeWQYH" TargetMode="External"/><Relationship Id="rId67" Type="http://schemas.openxmlformats.org/officeDocument/2006/relationships/hyperlink" Target="https://t1.nicegoods.cn/financial/experience-plan-sku?launchId=125617470183" TargetMode="External"/><Relationship Id="rId66" Type="http://schemas.openxmlformats.org/officeDocument/2006/relationships/hyperlink" Target="https://s.xingqudao.net/SOYeWQYN" TargetMode="External"/><Relationship Id="rId65" Type="http://schemas.openxmlformats.org/officeDocument/2006/relationships/hyperlink" Target="https://t1.nicegoods.cn/financial/experience-plan-sku?launchId=125658102272&amp;wcl=210500_14220748_financing" TargetMode="External"/><Relationship Id="rId64" Type="http://schemas.openxmlformats.org/officeDocument/2006/relationships/hyperlink" Target="https://t1.nicegoods.cn/financial/experience-plan-sku?launchId=125619137329" TargetMode="External"/><Relationship Id="rId63" Type="http://schemas.openxmlformats.org/officeDocument/2006/relationships/hyperlink" Target="https://s.xingqudao.net/SOYeWgeY" TargetMode="External"/><Relationship Id="rId62" Type="http://schemas.openxmlformats.org/officeDocument/2006/relationships/hyperlink" Target="https://s.xingqudao.net/SOYeWgel" TargetMode="External"/><Relationship Id="rId61" Type="http://schemas.openxmlformats.org/officeDocument/2006/relationships/hyperlink" Target="https://s.xingqudao.net/SOYeWj3G" TargetMode="External"/><Relationship Id="rId60" Type="http://schemas.openxmlformats.org/officeDocument/2006/relationships/hyperlink" Target="https://t1.nicegoods.cn/financial/experience-plan-sku?launchId=125618255657&amp;wcl=210500_14219335_financing" TargetMode="External"/><Relationship Id="rId6" Type="http://schemas.openxmlformats.org/officeDocument/2006/relationships/hyperlink" Target="https://t1.nicegoods.cn/financial/experience-plan-sku?launchId=125632140734" TargetMode="External"/><Relationship Id="rId59" Type="http://schemas.openxmlformats.org/officeDocument/2006/relationships/hyperlink" Target="https://s.xingqudao.net/SOYeWj3C" TargetMode="External"/><Relationship Id="rId58" Type="http://schemas.openxmlformats.org/officeDocument/2006/relationships/hyperlink" Target="https://t1.nicegoods.cn/financial/experience-plan-sku?launchId=125519847847&amp;wcl=210500_14218928_financing" TargetMode="External"/><Relationship Id="rId57" Type="http://schemas.openxmlformats.org/officeDocument/2006/relationships/hyperlink" Target="https://s.xingqudao.net/SOYeWgeZ" TargetMode="External"/><Relationship Id="rId56" Type="http://schemas.openxmlformats.org/officeDocument/2006/relationships/hyperlink" Target="https://t1.nicegoods.cn/financial/experience-plan-sku?launchId=125618255657&amp;wcl=210500_14219334_financing" TargetMode="External"/><Relationship Id="rId55" Type="http://schemas.openxmlformats.org/officeDocument/2006/relationships/hyperlink" Target="https://t1.nicegoods.cn/financial/experience-plan-sku?launchId=125652162296&amp;wcl=210500_14220746_financing" TargetMode="External"/><Relationship Id="rId54" Type="http://schemas.openxmlformats.org/officeDocument/2006/relationships/hyperlink" Target="https://t1.nicegoods.cn/financial/experience-plan-sku?launchId=125632140734&amp;wcl=210500_14220405_financing" TargetMode="External"/><Relationship Id="rId53" Type="http://schemas.openxmlformats.org/officeDocument/2006/relationships/hyperlink" Target="https://s.xingqudao.net/SOYeWgem" TargetMode="External"/><Relationship Id="rId52" Type="http://schemas.openxmlformats.org/officeDocument/2006/relationships/hyperlink" Target="https://t1.nicegoods.cn/financial/experience-plan-sku?launchId=125617475338&amp;wcl=210500_14219336_financing" TargetMode="External"/><Relationship Id="rId51" Type="http://schemas.openxmlformats.org/officeDocument/2006/relationships/hyperlink" Target="https://t1.nicegoods.cn/financial/experience-plan-sku?launchId=125619849150&amp;wcl=210500_14219330_financing" TargetMode="External"/><Relationship Id="rId50" Type="http://schemas.openxmlformats.org/officeDocument/2006/relationships/hyperlink" Target="https://s.xingqudao.net/SOYeWj3E" TargetMode="External"/><Relationship Id="rId5" Type="http://schemas.openxmlformats.org/officeDocument/2006/relationships/hyperlink" Target="https://s.xingqudao.net/SOYeWQYM" TargetMode="External"/><Relationship Id="rId49" Type="http://schemas.openxmlformats.org/officeDocument/2006/relationships/hyperlink" Target="https://t1.nicegoods.cn/financial/experience-plan-sku?launchId=125633308846&amp;wcl=210500_14220406_financing" TargetMode="External"/><Relationship Id="rId48" Type="http://schemas.openxmlformats.org/officeDocument/2006/relationships/hyperlink" Target="https://s.xingqudao.net/SOYeWQYK" TargetMode="External"/><Relationship Id="rId47" Type="http://schemas.openxmlformats.org/officeDocument/2006/relationships/hyperlink" Target="https://t1.nicegoods.cn/financial/experience-plan-sku?launchId=125618255657" TargetMode="External"/><Relationship Id="rId46" Type="http://schemas.openxmlformats.org/officeDocument/2006/relationships/hyperlink" Target="https://s.xingqudao.net/SOYeWged" TargetMode="External"/><Relationship Id="rId45" Type="http://schemas.openxmlformats.org/officeDocument/2006/relationships/hyperlink" Target="https://t1.nicegoods.cn/financial/experience-plan-sku?launchId=125619848961&amp;wcl=210500_14219326_financing" TargetMode="External"/><Relationship Id="rId44" Type="http://schemas.openxmlformats.org/officeDocument/2006/relationships/hyperlink" Target="https://s.xingqudao.net/SOYeWgeh" TargetMode="External"/><Relationship Id="rId43" Type="http://schemas.openxmlformats.org/officeDocument/2006/relationships/hyperlink" Target="https://s.xingqudao.net/SOYeWj3F" TargetMode="External"/><Relationship Id="rId42" Type="http://schemas.openxmlformats.org/officeDocument/2006/relationships/hyperlink" Target="https://s.xingqudao.net/SOYeWlP0" TargetMode="External"/><Relationship Id="rId41" Type="http://schemas.openxmlformats.org/officeDocument/2006/relationships/hyperlink" Target="https://s.xingqudao.net/SOYeXQFp" TargetMode="External"/><Relationship Id="rId40" Type="http://schemas.openxmlformats.org/officeDocument/2006/relationships/hyperlink" Target="https://t1.nicegoods.cn/financial/experience-plan-sku?launchId=125633308846&amp;wcl=210500_14220404_financing" TargetMode="External"/><Relationship Id="rId4" Type="http://schemas.openxmlformats.org/officeDocument/2006/relationships/hyperlink" Target="https://s.xingqudao.net/SOYeWQYL" TargetMode="External"/><Relationship Id="rId39" Type="http://schemas.openxmlformats.org/officeDocument/2006/relationships/hyperlink" Target="https://t1.nicegoods.cn/financial/experience-plan-sku?launchId=125619849150&amp;wcl=210500_14219327_financing" TargetMode="External"/><Relationship Id="rId38" Type="http://schemas.openxmlformats.org/officeDocument/2006/relationships/hyperlink" Target="https://s.xingqudao.net/SOYeWj3D" TargetMode="External"/><Relationship Id="rId37" Type="http://schemas.openxmlformats.org/officeDocument/2006/relationships/hyperlink" Target="https://s.xingqudao.net/SOYeWgek" TargetMode="External"/><Relationship Id="rId36" Type="http://schemas.openxmlformats.org/officeDocument/2006/relationships/hyperlink" Target="https://t1.nicegoods.cn/financial/experience-plan-sku?launchId=125619137329&amp;wcl=210500_14219338_financing" TargetMode="External"/><Relationship Id="rId35" Type="http://schemas.openxmlformats.org/officeDocument/2006/relationships/hyperlink" Target="https://t1.nicegoods.cn/financial/experience-plan-sku?launchId=125633308846&amp;wcl=210500_14220403_financing" TargetMode="External"/><Relationship Id="rId34" Type="http://schemas.openxmlformats.org/officeDocument/2006/relationships/hyperlink" Target="https://t1.nicegoods.cn/financial/experience-plan-sku?launchId=125617475338" TargetMode="External"/><Relationship Id="rId33" Type="http://schemas.openxmlformats.org/officeDocument/2006/relationships/hyperlink" Target="https://t1.nicegoods.cn/financial/experience-plan-sku?launchId=125652162296&amp;wcl=210500_14220747_financing" TargetMode="External"/><Relationship Id="rId32" Type="http://schemas.openxmlformats.org/officeDocument/2006/relationships/hyperlink" Target="https://t1.nicegoods.cn/financial/experience-plan-sku?launchId=125619137329&amp;wcl=210500_14219339_financing" TargetMode="External"/><Relationship Id="rId31" Type="http://schemas.openxmlformats.org/officeDocument/2006/relationships/hyperlink" Target="https://s.xingqudao.net/SOYeXPne" TargetMode="External"/><Relationship Id="rId30" Type="http://schemas.openxmlformats.org/officeDocument/2006/relationships/hyperlink" Target="https://t1.nicegoods.cn/financial/experience-plan-sku?launchId=125619849150" TargetMode="External"/><Relationship Id="rId3" Type="http://schemas.openxmlformats.org/officeDocument/2006/relationships/hyperlink" Target="https://s.xingqudao.net/SOYeWgei" TargetMode="External"/><Relationship Id="rId29" Type="http://schemas.openxmlformats.org/officeDocument/2006/relationships/hyperlink" Target="https://t1.nicegoods.cn/financial/experience-plan-sku?launchId=125519847847&amp;wcl=210500_14218932_financing" TargetMode="External"/><Relationship Id="rId28" Type="http://schemas.openxmlformats.org/officeDocument/2006/relationships/hyperlink" Target="https://t1.nicegoods.cn/financial/experience-plan-sku?launchId=125619848961" TargetMode="External"/><Relationship Id="rId27" Type="http://schemas.openxmlformats.org/officeDocument/2006/relationships/hyperlink" Target="https://s.xingqudao.net/SOYeWgep" TargetMode="External"/><Relationship Id="rId26" Type="http://schemas.openxmlformats.org/officeDocument/2006/relationships/hyperlink" Target="https://t1.nicegoods.cn/financial/experience-plan-sku?launchId=125618255657&amp;wcl=210500_14219332_financing" TargetMode="External"/><Relationship Id="rId25" Type="http://schemas.openxmlformats.org/officeDocument/2006/relationships/hyperlink" Target="https://t1.nicegoods.cn/financial/experience-plan-sku?launchId=125633308846&amp;wcl=210500_14220402_financing" TargetMode="External"/><Relationship Id="rId24" Type="http://schemas.openxmlformats.org/officeDocument/2006/relationships/hyperlink" Target="https://s.xingqudao.net/SOYeWgee" TargetMode="External"/><Relationship Id="rId23" Type="http://schemas.openxmlformats.org/officeDocument/2006/relationships/hyperlink" Target="https://t1.nicegoods.cn/financial/experience-plan-sku?launchId=125652162296&amp;wcl=210500_14220745_financing" TargetMode="External"/><Relationship Id="rId22" Type="http://schemas.openxmlformats.org/officeDocument/2006/relationships/hyperlink" Target="https://s.xingqudao.net/SOYeWgeo" TargetMode="External"/><Relationship Id="rId21" Type="http://schemas.openxmlformats.org/officeDocument/2006/relationships/hyperlink" Target="https://t1.nicegoods.cn/financial/experience-plan-sku?launchId=125633308846" TargetMode="External"/><Relationship Id="rId20" Type="http://schemas.openxmlformats.org/officeDocument/2006/relationships/hyperlink" Target="https://t1.nicegoods.cn/financial/experience-plan-sku?launchId=125618255657&amp;wcl=210500_14219333_financing" TargetMode="External"/><Relationship Id="rId2" Type="http://schemas.openxmlformats.org/officeDocument/2006/relationships/hyperlink" Target="https://t1.nicegoods.cn/financial/experience-plan-sku?launchId=125619849150&amp;wcl=210500_14219329_financing" TargetMode="External"/><Relationship Id="rId19" Type="http://schemas.openxmlformats.org/officeDocument/2006/relationships/hyperlink" Target="https://t1.nicegoods.cn/financial/experience-plan-sku?launchId=125619137329&amp;wcl=210500_14219337_financing" TargetMode="External"/><Relationship Id="rId18" Type="http://schemas.openxmlformats.org/officeDocument/2006/relationships/hyperlink" Target="https://s.xingqudao.net/SOYeWlP2" TargetMode="External"/><Relationship Id="rId17" Type="http://schemas.openxmlformats.org/officeDocument/2006/relationships/hyperlink" Target="https://t1.nicegoods.cn/financial/experience-plan-sku?launchId=125617470183&amp;wcl=210500_14219331_financing" TargetMode="External"/><Relationship Id="rId16" Type="http://schemas.openxmlformats.org/officeDocument/2006/relationships/hyperlink" Target="https://s.xingqudao.net/SOYeWgef" TargetMode="External"/><Relationship Id="rId15" Type="http://schemas.openxmlformats.org/officeDocument/2006/relationships/hyperlink" Target="https://t1.nicegoods.cn/financial/experience-plan-sku?launchId=125619849150&amp;wcl=210500_14219328_financing" TargetMode="External"/><Relationship Id="rId14" Type="http://schemas.openxmlformats.org/officeDocument/2006/relationships/hyperlink" Target="https://s.xingqudao.net/SOYeWlOz" TargetMode="External"/><Relationship Id="rId13" Type="http://schemas.openxmlformats.org/officeDocument/2006/relationships/hyperlink" Target="https://s.xingqudao.net/SOYeWgeb" TargetMode="External"/><Relationship Id="rId12" Type="http://schemas.openxmlformats.org/officeDocument/2006/relationships/hyperlink" Target="https://t1.nicegoods.cn/financial/experience-plan-sku?launchId=125519847847&amp;wcl=210500_14218930_financing" TargetMode="External"/><Relationship Id="rId11" Type="http://schemas.openxmlformats.org/officeDocument/2006/relationships/hyperlink" Target="https://t1.nicegoods.cn/financial/experience-plan-sku?launchId=125519847847&amp;wcl=210500_14218929_financing" TargetMode="External"/><Relationship Id="rId10" Type="http://schemas.openxmlformats.org/officeDocument/2006/relationships/hyperlink" Target="https://s.xingqudao.net/SOYeWgej" TargetMode="External"/><Relationship Id="rId1" Type="http://schemas.openxmlformats.org/officeDocument/2006/relationships/hyperlink" Target="https://s.xingqudao.net/SOYeXQE0" TargetMode="External"/></Relationships>
</file>

<file path=xl/worksheets/_rels/sheet11.xml.rels><?xml version="1.0" encoding="UTF-8" standalone="yes"?>
<Relationships xmlns="http://schemas.openxmlformats.org/package/2006/relationships"><Relationship Id="rId9" Type="http://schemas.openxmlformats.org/officeDocument/2006/relationships/hyperlink" Target="https://p2.nicegoods.cn/financial/experience-plan-sku?launchId=124673614460" TargetMode="External"/><Relationship Id="rId8" Type="http://schemas.openxmlformats.org/officeDocument/2006/relationships/hyperlink" Target="https://t1.nicegoods.cn/financial/experience-plan-sku?launchId=125090775007" TargetMode="External"/><Relationship Id="rId7" Type="http://schemas.openxmlformats.org/officeDocument/2006/relationships/hyperlink" Target="https://s.xingqudao.net/SOYeU4mo" TargetMode="External"/><Relationship Id="rId6" Type="http://schemas.openxmlformats.org/officeDocument/2006/relationships/hyperlink" Target="https://s.xingqudao.net/SOYeU4mt" TargetMode="External"/><Relationship Id="rId59" Type="http://schemas.openxmlformats.org/officeDocument/2006/relationships/hyperlink" Target="https://p2.nicegoods.cn/financial/experience-plan-sku?launchId=124916068995&amp;wcl=210500_14214264_financing" TargetMode="External"/><Relationship Id="rId58" Type="http://schemas.openxmlformats.org/officeDocument/2006/relationships/hyperlink" Target="https://s.xingqudao.net/SOYeSv0h" TargetMode="External"/><Relationship Id="rId57" Type="http://schemas.openxmlformats.org/officeDocument/2006/relationships/hyperlink" Target="https://t1.nicegoods.cn/financial/experience-plan-sku?launchId=125090775007&amp;wcl=210500_14217366_financing" TargetMode="External"/><Relationship Id="rId56" Type="http://schemas.openxmlformats.org/officeDocument/2006/relationships/hyperlink" Target="https://t1.nicegoods.cn/financial/experience-plan-sku?launchId=125092753401" TargetMode="External"/><Relationship Id="rId55" Type="http://schemas.openxmlformats.org/officeDocument/2006/relationships/hyperlink" Target="https://s.xingqudao.net/SOYeTVXp" TargetMode="External"/><Relationship Id="rId54" Type="http://schemas.openxmlformats.org/officeDocument/2006/relationships/hyperlink" Target="https://s.xingqudao.net/SOYeUqyK" TargetMode="External"/><Relationship Id="rId53" Type="http://schemas.openxmlformats.org/officeDocument/2006/relationships/hyperlink" Target="https://p2.nicegoods.cn/financial/experience-plan-sku?launchId=124673614460&amp;wcl=210500_14210223_financing" TargetMode="External"/><Relationship Id="rId52" Type="http://schemas.openxmlformats.org/officeDocument/2006/relationships/hyperlink" Target="https://t1.nicegoods.cn/financial/experience-plan-sku?launchId=124545101576&amp;wcl=210500_14207921_financing" TargetMode="External"/><Relationship Id="rId51" Type="http://schemas.openxmlformats.org/officeDocument/2006/relationships/hyperlink" Target="https://s.xingqudao.net/SOYeTVXq" TargetMode="External"/><Relationship Id="rId50" Type="http://schemas.openxmlformats.org/officeDocument/2006/relationships/hyperlink" Target="https://s.xingqudao.net/SOYeUUw6" TargetMode="External"/><Relationship Id="rId5" Type="http://schemas.openxmlformats.org/officeDocument/2006/relationships/hyperlink" Target="https://s.xingqudao.net/SOYeU4mw" TargetMode="External"/><Relationship Id="rId49" Type="http://schemas.openxmlformats.org/officeDocument/2006/relationships/hyperlink" Target="https://t1.nicegoods.cn/financial/experience-plan-sku?launchId=124545101576&amp;wcl=210500_14207920_financing" TargetMode="External"/><Relationship Id="rId48" Type="http://schemas.openxmlformats.org/officeDocument/2006/relationships/hyperlink" Target="https://p2.nicegoods.cn/financial/experience-plan-sku?launchId=124917249180" TargetMode="External"/><Relationship Id="rId47" Type="http://schemas.openxmlformats.org/officeDocument/2006/relationships/hyperlink" Target="https://s.xingqudao.net/SOYeU4mn" TargetMode="External"/><Relationship Id="rId46" Type="http://schemas.openxmlformats.org/officeDocument/2006/relationships/hyperlink" Target="https://p2.nicegoods.cn/financial/experience-plan-sku?launchId=124671707482&amp;wcl=210500_14210225_financing" TargetMode="External"/><Relationship Id="rId45" Type="http://schemas.openxmlformats.org/officeDocument/2006/relationships/hyperlink" Target="https://p2.nicegoods.cn/financial/experience-plan-sku?launchId=124916086534&amp;wcl=210500_14214267_financing" TargetMode="External"/><Relationship Id="rId44" Type="http://schemas.openxmlformats.org/officeDocument/2006/relationships/hyperlink" Target="https://t1.nicegoods.cn/financial/experience-plan-sku?launchId=125092753401&amp;wcl=210500_14217367_financing" TargetMode="External"/><Relationship Id="rId43" Type="http://schemas.openxmlformats.org/officeDocument/2006/relationships/hyperlink" Target="https://p2.nicegoods.cn/financial/experience-plan-sku?launchId=124916086534" TargetMode="External"/><Relationship Id="rId42" Type="http://schemas.openxmlformats.org/officeDocument/2006/relationships/hyperlink" Target="https://p2.nicegoods.cn/financial/experience-plan-sku?launchId=124916068995&amp;wcl=210500_14214262_financing" TargetMode="External"/><Relationship Id="rId41" Type="http://schemas.openxmlformats.org/officeDocument/2006/relationships/hyperlink" Target="https://s.xingqudao.net/SOYeUqyM" TargetMode="External"/><Relationship Id="rId40" Type="http://schemas.openxmlformats.org/officeDocument/2006/relationships/hyperlink" Target="https://p2.nicegoods.cn/financial/experience-plan-sku?launchId=124919641013" TargetMode="External"/><Relationship Id="rId4" Type="http://schemas.openxmlformats.org/officeDocument/2006/relationships/hyperlink" Target="https://p2.nicegoods.cn/financial/experience-plan-sku?launchId=124919641013&amp;wcl=210500_14214266_financing" TargetMode="External"/><Relationship Id="rId39" Type="http://schemas.openxmlformats.org/officeDocument/2006/relationships/hyperlink" Target="https://t1.nicegoods.cn/financial/experience-plan-sku?launchId=125090775007&amp;wcl=210500_14217368_financing" TargetMode="External"/><Relationship Id="rId38" Type="http://schemas.openxmlformats.org/officeDocument/2006/relationships/hyperlink" Target="https://s.xingqudao.net/SOYeUUoc" TargetMode="External"/><Relationship Id="rId37" Type="http://schemas.openxmlformats.org/officeDocument/2006/relationships/hyperlink" Target="https://t1.nicegoods.cn/financial/experience-plan-sku?launchId=125090775007&amp;wcl=210500_14217365_financing" TargetMode="External"/><Relationship Id="rId36" Type="http://schemas.openxmlformats.org/officeDocument/2006/relationships/hyperlink" Target="https://p2.nicegoods.cn/financial/experience-plan-sku?launchId=124916086534&amp;wcl=210500_14214269_financing" TargetMode="External"/><Relationship Id="rId35" Type="http://schemas.openxmlformats.org/officeDocument/2006/relationships/hyperlink" Target="https://p2.nicegoods.cn/financial/experience-plan-sku?launchId=124671707482&amp;wcl=210500_14210226_financing" TargetMode="External"/><Relationship Id="rId34" Type="http://schemas.openxmlformats.org/officeDocument/2006/relationships/hyperlink" Target="https://s.xingqudao.net/SOYeU4mv" TargetMode="External"/><Relationship Id="rId33" Type="http://schemas.openxmlformats.org/officeDocument/2006/relationships/hyperlink" Target="https://s.xingqudao.net/SOYeUqyO" TargetMode="External"/><Relationship Id="rId32" Type="http://schemas.openxmlformats.org/officeDocument/2006/relationships/hyperlink" Target="https://s.xingqudao.net/SOYeUqyN" TargetMode="External"/><Relationship Id="rId31" Type="http://schemas.openxmlformats.org/officeDocument/2006/relationships/hyperlink" Target="https://s.xingqudao.net/SOYeSv0f" TargetMode="External"/><Relationship Id="rId30" Type="http://schemas.openxmlformats.org/officeDocument/2006/relationships/hyperlink" Target="https://s.xingqudao.net/SOYeU4mu" TargetMode="External"/><Relationship Id="rId3" Type="http://schemas.openxmlformats.org/officeDocument/2006/relationships/hyperlink" Target="https://s.xingqudao.net/SOYeSv0i" TargetMode="External"/><Relationship Id="rId29" Type="http://schemas.openxmlformats.org/officeDocument/2006/relationships/hyperlink" Target="https://p2.nicegoods.cn/financial/experience-plan-sku?launchId=124916068995&amp;wcl=210500_14214263_financing" TargetMode="External"/><Relationship Id="rId28" Type="http://schemas.openxmlformats.org/officeDocument/2006/relationships/hyperlink" Target="https://p2.nicegoods.cn/financial/experience-plan-sku?launchId=124916068995&amp;wcl=210500_14214265_financing" TargetMode="External"/><Relationship Id="rId27" Type="http://schemas.openxmlformats.org/officeDocument/2006/relationships/hyperlink" Target="https://s.xingqudao.net/SOYeU4mq" TargetMode="External"/><Relationship Id="rId26" Type="http://schemas.openxmlformats.org/officeDocument/2006/relationships/hyperlink" Target="https://p2.nicegoods.cn/financial/experience-plan-sku?launchId=124916086534&amp;wcl=210500_14214270_financing" TargetMode="External"/><Relationship Id="rId25" Type="http://schemas.openxmlformats.org/officeDocument/2006/relationships/hyperlink" Target="https://s.xingqudao.net/SOYeUqyL" TargetMode="External"/><Relationship Id="rId24" Type="http://schemas.openxmlformats.org/officeDocument/2006/relationships/hyperlink" Target="https://s.xingqudao.net/SOYeTVXn" TargetMode="External"/><Relationship Id="rId23" Type="http://schemas.openxmlformats.org/officeDocument/2006/relationships/hyperlink" Target="https://p2.nicegoods.cn/financial/experience-plan-sku?launchId=124916068995" TargetMode="External"/><Relationship Id="rId22" Type="http://schemas.openxmlformats.org/officeDocument/2006/relationships/hyperlink" Target="https://s.xingqudao.net/SOYeU4mx" TargetMode="External"/><Relationship Id="rId21" Type="http://schemas.openxmlformats.org/officeDocument/2006/relationships/hyperlink" Target="https://s.xingqudao.net/SOYeU4mp" TargetMode="External"/><Relationship Id="rId20" Type="http://schemas.openxmlformats.org/officeDocument/2006/relationships/hyperlink" Target="https://s.xingqudao.net/SOYeTVXr" TargetMode="External"/><Relationship Id="rId2" Type="http://schemas.openxmlformats.org/officeDocument/2006/relationships/hyperlink" Target="https://s.xingqudao.net/SOYeU4mr" TargetMode="External"/><Relationship Id="rId19" Type="http://schemas.openxmlformats.org/officeDocument/2006/relationships/hyperlink" Target="https://s.xingqudao.net/SOYeUPwC" TargetMode="External"/><Relationship Id="rId18" Type="http://schemas.openxmlformats.org/officeDocument/2006/relationships/hyperlink" Target="https://p2.nicegoods.cn/financial/experience-plan-sku?launchId=124917249180&amp;wcl=210500_14214261_financing" TargetMode="External"/><Relationship Id="rId17" Type="http://schemas.openxmlformats.org/officeDocument/2006/relationships/hyperlink" Target="https://p2.nicegoods.cn/financial/experience-plan-sku?launchId=124671707482&amp;wcl=210500_14210224_financing" TargetMode="External"/><Relationship Id="rId16" Type="http://schemas.openxmlformats.org/officeDocument/2006/relationships/hyperlink" Target="https://p2.nicegoods.cn/financial/experience-plan-sku?launchId=124671707482" TargetMode="External"/><Relationship Id="rId15" Type="http://schemas.openxmlformats.org/officeDocument/2006/relationships/hyperlink" Target="https://t1.nicegoods.cn/financial/experience-plan-sku?launchId=125090775007&amp;wcl=210500_14217364_financing" TargetMode="External"/><Relationship Id="rId14" Type="http://schemas.openxmlformats.org/officeDocument/2006/relationships/hyperlink" Target="https://t1.nicegoods.cn/financial/experience-plan-sku?launchId=124542375690&amp;wcl=210500_14207922_financing" TargetMode="External"/><Relationship Id="rId13" Type="http://schemas.openxmlformats.org/officeDocument/2006/relationships/hyperlink" Target="https://s.xingqudao.net/SOYeTaub" TargetMode="External"/><Relationship Id="rId12" Type="http://schemas.openxmlformats.org/officeDocument/2006/relationships/hyperlink" Target="https://s.xingqudao.net/SOYeUV9r" TargetMode="External"/><Relationship Id="rId11" Type="http://schemas.openxmlformats.org/officeDocument/2006/relationships/hyperlink" Target="https://s.xingqudao.net/SOYeTVXo" TargetMode="External"/><Relationship Id="rId10" Type="http://schemas.openxmlformats.org/officeDocument/2006/relationships/hyperlink" Target="https://p2.nicegoods.cn/financial/experience-plan-sku?launchId=124671707482&amp;wcl=210500_14210227_financing" TargetMode="External"/><Relationship Id="rId1" Type="http://schemas.openxmlformats.org/officeDocument/2006/relationships/hyperlink" Target="https://p2.nicegoods.cn/financial/experience-plan-sku?launchId=124916086534&amp;wcl=210500_14214268_financing" TargetMode="External"/></Relationships>
</file>

<file path=xl/worksheets/_rels/sheet12.xml.rels><?xml version="1.0" encoding="UTF-8" standalone="yes"?>
<Relationships xmlns="http://schemas.openxmlformats.org/package/2006/relationships"><Relationship Id="rId9" Type="http://schemas.openxmlformats.org/officeDocument/2006/relationships/hyperlink" Target="https://s.xingqudao.net/SOYeNig9" TargetMode="External"/><Relationship Id="rId8" Type="http://schemas.openxmlformats.org/officeDocument/2006/relationships/hyperlink" Target="https://p2.nicegoods.cn/financial/experience-plan-sku?launchId=122987649698" TargetMode="External"/><Relationship Id="rId7" Type="http://schemas.openxmlformats.org/officeDocument/2006/relationships/hyperlink" Target="https://t1.nicegoods.cn/financial/experience-plan-sku?launchId=123953560427&amp;wcl=210500_14206554_financing" TargetMode="External"/><Relationship Id="rId68" Type="http://schemas.openxmlformats.org/officeDocument/2006/relationships/hyperlink" Target="https://p2.nicegoods.cn/financial/experience-plan-sku?launchId=122987649619&amp;wcl=210500_14203244_financing" TargetMode="External"/><Relationship Id="rId67" Type="http://schemas.openxmlformats.org/officeDocument/2006/relationships/hyperlink" Target="https://m.bankangnet.com/financial/experience-plan-sku?launchId=123605227132&amp;wcl=210500_14204930_financing" TargetMode="External"/><Relationship Id="rId66" Type="http://schemas.openxmlformats.org/officeDocument/2006/relationships/hyperlink" Target="https://t1.nicegoods.cn/financial/experience-plan-sku?launchId=122957746739&amp;wcl=210500_14203163_financing" TargetMode="External"/><Relationship Id="rId65" Type="http://schemas.openxmlformats.org/officeDocument/2006/relationships/hyperlink" Target="https://s.xingqudao.net/SOYeNigA" TargetMode="External"/><Relationship Id="rId64" Type="http://schemas.openxmlformats.org/officeDocument/2006/relationships/hyperlink" Target="https://t1.nicegoods.cn/financial/experience-plan-sku?launchId=123762788327&amp;wcl=210500_14205865_financing" TargetMode="External"/><Relationship Id="rId63" Type="http://schemas.openxmlformats.org/officeDocument/2006/relationships/hyperlink" Target="https://s.xingqudao.net/SOYeQp1m" TargetMode="External"/><Relationship Id="rId62" Type="http://schemas.openxmlformats.org/officeDocument/2006/relationships/hyperlink" Target="https://s.xingqudao.net/SOYeNkYf" TargetMode="External"/><Relationship Id="rId61" Type="http://schemas.openxmlformats.org/officeDocument/2006/relationships/hyperlink" Target="https://s.xingqudao.net/SOYeNigB" TargetMode="External"/><Relationship Id="rId60" Type="http://schemas.openxmlformats.org/officeDocument/2006/relationships/hyperlink" Target="https://m.bankangnet.com/financial/experience-plan-sku?launchId=123605227132&amp;wcl=210500_14204934_financing" TargetMode="External"/><Relationship Id="rId6" Type="http://schemas.openxmlformats.org/officeDocument/2006/relationships/hyperlink" Target="https://p2.nicegoods.cn/financial/experience-plan-sku?launchId=122987649698&amp;wcl=210500_14203245_financing" TargetMode="External"/><Relationship Id="rId59" Type="http://schemas.openxmlformats.org/officeDocument/2006/relationships/hyperlink" Target="https://p2.nicegoods.cn/financial/experience-plan-sku?launchId=122987649619" TargetMode="External"/><Relationship Id="rId58" Type="http://schemas.openxmlformats.org/officeDocument/2006/relationships/hyperlink" Target="https://s.xingqudao.net/SOYeQyLX" TargetMode="External"/><Relationship Id="rId57" Type="http://schemas.openxmlformats.org/officeDocument/2006/relationships/hyperlink" Target="https://s.xingqudao.net/SOYePnPN" TargetMode="External"/><Relationship Id="rId56" Type="http://schemas.openxmlformats.org/officeDocument/2006/relationships/hyperlink" Target="https://m.bankangnet.com/financial/experience-plan-sku?launchId=123605227100&amp;wcl=210500_14204928_financing" TargetMode="External"/><Relationship Id="rId55" Type="http://schemas.openxmlformats.org/officeDocument/2006/relationships/hyperlink" Target="https://s.xingqudao.net/SOYeQEyK" TargetMode="External"/><Relationship Id="rId54" Type="http://schemas.openxmlformats.org/officeDocument/2006/relationships/hyperlink" Target="https://m.bankangnet.com/financial/experience-plan-sku?launchId=123605227132&amp;wcl=210500_14204933_financing" TargetMode="External"/><Relationship Id="rId53" Type="http://schemas.openxmlformats.org/officeDocument/2006/relationships/hyperlink" Target="https://s.xingqudao.net/SOYeNkYd" TargetMode="External"/><Relationship Id="rId52" Type="http://schemas.openxmlformats.org/officeDocument/2006/relationships/hyperlink" Target="https://m.bankangnet.com/financial/experience-plan-sku?launchId=123605227132&amp;wcl=210500_14204929_financing" TargetMode="External"/><Relationship Id="rId51" Type="http://schemas.openxmlformats.org/officeDocument/2006/relationships/hyperlink" Target="https://s.xingqudao.net/SOYeQp1y" TargetMode="External"/><Relationship Id="rId50" Type="http://schemas.openxmlformats.org/officeDocument/2006/relationships/hyperlink" Target="https://s.xingqudao.net/SOYeQyLY" TargetMode="External"/><Relationship Id="rId5" Type="http://schemas.openxmlformats.org/officeDocument/2006/relationships/hyperlink" Target="https://m.bankangnet.com/financial/experience-plan-sku?launchId=123605227132&amp;wcl=210500_14204932_financing" TargetMode="External"/><Relationship Id="rId49" Type="http://schemas.openxmlformats.org/officeDocument/2006/relationships/hyperlink" Target="https://t1.nicegoods.cn/financial/experience-plan-sku?launchId=123767683732&amp;wcl=210500_14206544_financing" TargetMode="External"/><Relationship Id="rId48" Type="http://schemas.openxmlformats.org/officeDocument/2006/relationships/hyperlink" Target="https://s.xingqudao.net/SOYeNkYe" TargetMode="External"/><Relationship Id="rId47" Type="http://schemas.openxmlformats.org/officeDocument/2006/relationships/hyperlink" Target="https://m.bankangnet.com/financial/experience-plan-sku?launchId=123605227132&amp;wcl=210500_14204935_financing" TargetMode="External"/><Relationship Id="rId46" Type="http://schemas.openxmlformats.org/officeDocument/2006/relationships/hyperlink" Target="https://t1.nicegoods.cn/financial/experience-plan-sku?launchId=123762788386&amp;wcl=210500_14205868_financing" TargetMode="External"/><Relationship Id="rId45" Type="http://schemas.openxmlformats.org/officeDocument/2006/relationships/hyperlink" Target="https://s.xingqudao.net/SOYeQC2y" TargetMode="External"/><Relationship Id="rId44" Type="http://schemas.openxmlformats.org/officeDocument/2006/relationships/hyperlink" Target="https://s.xingqudao.net/SOYeNkYg" TargetMode="External"/><Relationship Id="rId43" Type="http://schemas.openxmlformats.org/officeDocument/2006/relationships/hyperlink" Target="https://m.bankangnet.com/financial/experience-plan-sku?launchId=123605227132" TargetMode="External"/><Relationship Id="rId42" Type="http://schemas.openxmlformats.org/officeDocument/2006/relationships/hyperlink" Target="https://t1.nicegoods.cn/financial/experience-plan-sku?launchId=123762788327&amp;wcl=210500_14205866_financing" TargetMode="External"/><Relationship Id="rId41" Type="http://schemas.openxmlformats.org/officeDocument/2006/relationships/hyperlink" Target="https://s.xingqudao.net/SOYeQxpO" TargetMode="External"/><Relationship Id="rId40" Type="http://schemas.openxmlformats.org/officeDocument/2006/relationships/hyperlink" Target="https://m.bankangnet.com/financial/experience-plan-sku?launchId=123605227100" TargetMode="External"/><Relationship Id="rId4" Type="http://schemas.openxmlformats.org/officeDocument/2006/relationships/hyperlink" Target="https://t1.nicegoods.cn/financial/experience-plan-sku?launchId=119499416271&amp;wcl=210500_14206547_financing" TargetMode="External"/><Relationship Id="rId39" Type="http://schemas.openxmlformats.org/officeDocument/2006/relationships/hyperlink" Target="https://t1.nicegoods.cn/financial/experience-plan-sku?launchId=122957746739&amp;wcl=210500_14203162_financing" TargetMode="External"/><Relationship Id="rId38" Type="http://schemas.openxmlformats.org/officeDocument/2006/relationships/hyperlink" Target="https://t1.nicegoods.cn/financial/experience-plan-sku?launchId=123953560077&amp;wcl=210500_14206552_financing" TargetMode="External"/><Relationship Id="rId37" Type="http://schemas.openxmlformats.org/officeDocument/2006/relationships/hyperlink" Target="https://s.xingqudao.net/SOYeQEyH" TargetMode="External"/><Relationship Id="rId36" Type="http://schemas.openxmlformats.org/officeDocument/2006/relationships/hyperlink" Target="https://s.xingqudao.net/SOYePnPO" TargetMode="External"/><Relationship Id="rId35" Type="http://schemas.openxmlformats.org/officeDocument/2006/relationships/hyperlink" Target="https://s.xingqudao.net/SOYeQDus" TargetMode="External"/><Relationship Id="rId34" Type="http://schemas.openxmlformats.org/officeDocument/2006/relationships/hyperlink" Target="https://s.xingqudao.net/SOYeNkYh" TargetMode="External"/><Relationship Id="rId33" Type="http://schemas.openxmlformats.org/officeDocument/2006/relationships/hyperlink" Target="https://t1.nicegoods.cn/financial/experience-plan-sku?launchId=123762788327&amp;wcl=210500_14205867_financing" TargetMode="External"/><Relationship Id="rId32" Type="http://schemas.openxmlformats.org/officeDocument/2006/relationships/hyperlink" Target="https://s.xingqudao.net/SOYeQCGQ" TargetMode="External"/><Relationship Id="rId31" Type="http://schemas.openxmlformats.org/officeDocument/2006/relationships/hyperlink" Target="https://s.xingqudao.net/SOYePnPR" TargetMode="External"/><Relationship Id="rId30" Type="http://schemas.openxmlformats.org/officeDocument/2006/relationships/hyperlink" Target="https://p2.nicegoods.cn/financial/experience-plan-sku?launchId=122987649698&amp;wcl=210500_14203246_financing" TargetMode="External"/><Relationship Id="rId3" Type="http://schemas.openxmlformats.org/officeDocument/2006/relationships/hyperlink" Target="https://s.xingqudao.net/SOYeNig8" TargetMode="External"/><Relationship Id="rId29" Type="http://schemas.openxmlformats.org/officeDocument/2006/relationships/hyperlink" Target="https://s.xingqudao.net/SOYeQEyJ" TargetMode="External"/><Relationship Id="rId28" Type="http://schemas.openxmlformats.org/officeDocument/2006/relationships/hyperlink" Target="https://s.xingqudao.net/SOYeQyLa" TargetMode="External"/><Relationship Id="rId27" Type="http://schemas.openxmlformats.org/officeDocument/2006/relationships/hyperlink" Target="https://t1.nicegoods.cn/financial/experience-plan-sku?launchId=123953560077&amp;wcl=210500_14206553_financing" TargetMode="External"/><Relationship Id="rId26" Type="http://schemas.openxmlformats.org/officeDocument/2006/relationships/hyperlink" Target="https://s.xingqudao.net/SOYeQp1f" TargetMode="External"/><Relationship Id="rId25" Type="http://schemas.openxmlformats.org/officeDocument/2006/relationships/hyperlink" Target="https://m.bankangnet.com/financial/experience-plan-sku?launchId=123605227132&amp;wcl=210500_14204931_financing" TargetMode="External"/><Relationship Id="rId24" Type="http://schemas.openxmlformats.org/officeDocument/2006/relationships/hyperlink" Target="https://t1.nicegoods.cn/financial/experience-plan-sku?launchId=122958862062&amp;wcl=210500_14203165_financing" TargetMode="External"/><Relationship Id="rId23" Type="http://schemas.openxmlformats.org/officeDocument/2006/relationships/hyperlink" Target="https://s.xingqudao.net/SOYeQCHc" TargetMode="External"/><Relationship Id="rId22" Type="http://schemas.openxmlformats.org/officeDocument/2006/relationships/hyperlink" Target="https://p2.nicegoods.cn/financial/experience-plan-sku?launchId=122987649698&amp;wcl=210500_14203248_financing" TargetMode="External"/><Relationship Id="rId21" Type="http://schemas.openxmlformats.org/officeDocument/2006/relationships/hyperlink" Target="https://s.xingqudao.net/SOYeQEyI" TargetMode="External"/><Relationship Id="rId20" Type="http://schemas.openxmlformats.org/officeDocument/2006/relationships/hyperlink" Target="https://s.xingqudao.net/SOYePnPP" TargetMode="External"/><Relationship Id="rId2" Type="http://schemas.openxmlformats.org/officeDocument/2006/relationships/hyperlink" Target="https://s.xingqudao.net/SOYePnPS" TargetMode="External"/><Relationship Id="rId19" Type="http://schemas.openxmlformats.org/officeDocument/2006/relationships/hyperlink" Target="https://t1.nicegoods.cn/financial/experience-plan-sku?launchId=123767683732&amp;wcl=210500_14206546_financing" TargetMode="External"/><Relationship Id="rId18" Type="http://schemas.openxmlformats.org/officeDocument/2006/relationships/hyperlink" Target="https://t1.nicegoods.cn/financial/experience-plan-sku?launchId=122957746739&amp;wcl=210500_14203164_financing" TargetMode="External"/><Relationship Id="rId17" Type="http://schemas.openxmlformats.org/officeDocument/2006/relationships/hyperlink" Target="https://t1.nicegoods.cn/financial/experience-plan-sku?launchId=123953560077&amp;wcl=210500_14206551_financing" TargetMode="External"/><Relationship Id="rId16" Type="http://schemas.openxmlformats.org/officeDocument/2006/relationships/hyperlink" Target="https://t1.nicegoods.cn/financial/experience-plan-sku?launchId=123767683732&amp;wcl=210500_14206545_financing" TargetMode="External"/><Relationship Id="rId15" Type="http://schemas.openxmlformats.org/officeDocument/2006/relationships/hyperlink" Target="https://s.xingqudao.net/SOYeQyLb" TargetMode="External"/><Relationship Id="rId14" Type="http://schemas.openxmlformats.org/officeDocument/2006/relationships/hyperlink" Target="https://s.xingqudao.net/SOYePnPM" TargetMode="External"/><Relationship Id="rId13" Type="http://schemas.openxmlformats.org/officeDocument/2006/relationships/hyperlink" Target="https://s.xingqudao.net/SOYePnPQ" TargetMode="External"/><Relationship Id="rId12" Type="http://schemas.openxmlformats.org/officeDocument/2006/relationships/hyperlink" Target="https://p2.nicegoods.cn/financial/experience-plan-sku?launchId=122987649698&amp;wcl=210500_14203247_financing" TargetMode="External"/><Relationship Id="rId11" Type="http://schemas.openxmlformats.org/officeDocument/2006/relationships/hyperlink" Target="https://my.feishu.cn/wiki/QnvDwGVd5iOM2MkinOwc8fkInAc?from=from_copylink" TargetMode="External"/><Relationship Id="rId10" Type="http://schemas.openxmlformats.org/officeDocument/2006/relationships/hyperlink" Target="https://s.xingqudao.net/SOYePnPL" TargetMode="External"/><Relationship Id="rId1" Type="http://schemas.openxmlformats.org/officeDocument/2006/relationships/hyperlink" Target="https://s.xingqudao.net/SOYeQp1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8800"/>
    <outlinePr summaryBelow="0" summaryRight="0"/>
  </sheetPr>
  <dimension ref="A1:L28"/>
  <sheetViews>
    <sheetView workbookViewId="0">
      <selection activeCell="A1" sqref="A1:L1"/>
    </sheetView>
  </sheetViews>
  <sheetFormatPr defaultColWidth="14" defaultRowHeight="15.2"/>
  <cols>
    <col min="5" max="5" width="30" customWidth="1"/>
    <col min="7" max="7" width="29" customWidth="1"/>
    <col min="9" max="9" width="30" customWidth="1"/>
    <col min="11" max="11" width="25" customWidth="1"/>
  </cols>
  <sheetData>
    <row r="1" ht="26" spans="1:12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</row>
    <row r="2" ht="17.6" spans="1:12">
      <c r="A2" s="194" t="s">
        <v>1</v>
      </c>
      <c r="B2" s="194"/>
      <c r="C2" s="195" t="s">
        <v>2</v>
      </c>
      <c r="D2" s="195"/>
      <c r="E2" s="195"/>
      <c r="F2" s="195"/>
      <c r="G2" s="195" t="s">
        <v>3</v>
      </c>
      <c r="H2" s="195"/>
      <c r="I2" s="195"/>
      <c r="J2" s="195"/>
      <c r="K2" s="195"/>
      <c r="L2" s="195"/>
    </row>
    <row r="3" ht="36" spans="1:12">
      <c r="A3" s="196" t="s">
        <v>4</v>
      </c>
      <c r="B3" s="196" t="s">
        <v>5</v>
      </c>
      <c r="C3" s="196" t="s">
        <v>6</v>
      </c>
      <c r="D3" s="197" t="s">
        <v>7</v>
      </c>
      <c r="E3" s="198" t="s">
        <v>7</v>
      </c>
      <c r="F3" s="198" t="s">
        <v>8</v>
      </c>
      <c r="G3" s="198" t="s">
        <v>7</v>
      </c>
      <c r="H3" s="198" t="s">
        <v>8</v>
      </c>
      <c r="I3" s="198" t="s">
        <v>7</v>
      </c>
      <c r="J3" s="198" t="s">
        <v>8</v>
      </c>
      <c r="K3" s="198" t="s">
        <v>7</v>
      </c>
      <c r="L3" s="198" t="s">
        <v>8</v>
      </c>
    </row>
    <row r="4" ht="16" spans="1:12">
      <c r="A4" s="199" t="s">
        <v>9</v>
      </c>
      <c r="B4" s="199" t="s">
        <v>10</v>
      </c>
      <c r="C4" s="200">
        <v>232453</v>
      </c>
      <c r="D4" s="200" t="s">
        <v>11</v>
      </c>
      <c r="E4" s="64" t="s">
        <v>12</v>
      </c>
      <c r="F4" s="304">
        <v>54274</v>
      </c>
      <c r="G4" s="64" t="s">
        <v>13</v>
      </c>
      <c r="H4" s="304">
        <v>26155</v>
      </c>
      <c r="I4" s="200" t="s">
        <v>14</v>
      </c>
      <c r="J4" s="304">
        <v>40947</v>
      </c>
      <c r="K4" s="64" t="s">
        <v>15</v>
      </c>
      <c r="L4" s="304">
        <f t="shared" ref="L4:L11" si="0">C4-F4-H4-J4</f>
        <v>111077</v>
      </c>
    </row>
    <row r="5" ht="31" spans="1:12">
      <c r="A5" s="199" t="s">
        <v>9</v>
      </c>
      <c r="B5" s="199" t="s">
        <v>16</v>
      </c>
      <c r="C5" s="202">
        <f>227467-9753</f>
        <v>217714</v>
      </c>
      <c r="D5" s="202" t="s">
        <v>17</v>
      </c>
      <c r="E5" s="203" t="s">
        <v>18</v>
      </c>
      <c r="F5" s="307">
        <f>8785-208</f>
        <v>8577</v>
      </c>
      <c r="G5" s="203" t="s">
        <v>19</v>
      </c>
      <c r="H5" s="307">
        <f>27932-5965</f>
        <v>21967</v>
      </c>
      <c r="I5" s="202" t="s">
        <v>20</v>
      </c>
      <c r="J5" s="307">
        <f>9806-3581</f>
        <v>6225</v>
      </c>
      <c r="K5" s="203" t="s">
        <v>21</v>
      </c>
      <c r="L5" s="307">
        <f t="shared" si="0"/>
        <v>180945</v>
      </c>
    </row>
    <row r="6" ht="16" spans="1:12">
      <c r="A6" s="199" t="s">
        <v>9</v>
      </c>
      <c r="B6" s="200" t="s">
        <v>22</v>
      </c>
      <c r="C6" s="202">
        <v>120568</v>
      </c>
      <c r="D6" s="202" t="s">
        <v>17</v>
      </c>
      <c r="E6" s="203" t="s">
        <v>18</v>
      </c>
      <c r="F6" s="307">
        <v>15741</v>
      </c>
      <c r="G6" s="203" t="s">
        <v>19</v>
      </c>
      <c r="H6" s="307">
        <v>37706</v>
      </c>
      <c r="I6" s="202" t="s">
        <v>20</v>
      </c>
      <c r="J6" s="307">
        <v>12550</v>
      </c>
      <c r="K6" s="203" t="s">
        <v>21</v>
      </c>
      <c r="L6" s="307">
        <f t="shared" si="0"/>
        <v>54571</v>
      </c>
    </row>
    <row r="7" ht="16" spans="1:12">
      <c r="A7" s="199" t="s">
        <v>9</v>
      </c>
      <c r="B7" s="200" t="s">
        <v>23</v>
      </c>
      <c r="C7" s="200">
        <v>224973</v>
      </c>
      <c r="D7" s="200" t="s">
        <v>11</v>
      </c>
      <c r="E7" s="64" t="s">
        <v>12</v>
      </c>
      <c r="F7" s="201">
        <v>37574</v>
      </c>
      <c r="G7" s="64" t="s">
        <v>13</v>
      </c>
      <c r="H7" s="201">
        <v>42603</v>
      </c>
      <c r="I7" s="200" t="s">
        <v>14</v>
      </c>
      <c r="J7" s="201">
        <v>36835</v>
      </c>
      <c r="K7" s="64" t="s">
        <v>15</v>
      </c>
      <c r="L7" s="201">
        <f t="shared" si="0"/>
        <v>107961</v>
      </c>
    </row>
    <row r="8" ht="16" spans="1:12">
      <c r="A8" s="199" t="s">
        <v>9</v>
      </c>
      <c r="B8" s="199" t="s">
        <v>24</v>
      </c>
      <c r="C8" s="200">
        <v>184293</v>
      </c>
      <c r="D8" s="200" t="s">
        <v>11</v>
      </c>
      <c r="E8" s="64" t="s">
        <v>12</v>
      </c>
      <c r="F8" s="304">
        <v>83042</v>
      </c>
      <c r="G8" s="64" t="s">
        <v>13</v>
      </c>
      <c r="H8" s="304">
        <v>11810</v>
      </c>
      <c r="I8" s="200" t="s">
        <v>14</v>
      </c>
      <c r="J8" s="304">
        <v>22242</v>
      </c>
      <c r="K8" s="64" t="s">
        <v>15</v>
      </c>
      <c r="L8" s="304">
        <f t="shared" si="0"/>
        <v>67199</v>
      </c>
    </row>
    <row r="9" ht="16" spans="1:12">
      <c r="A9" s="199" t="s">
        <v>9</v>
      </c>
      <c r="B9" s="199" t="s">
        <v>25</v>
      </c>
      <c r="C9" s="200">
        <v>162513</v>
      </c>
      <c r="D9" s="200" t="s">
        <v>11</v>
      </c>
      <c r="E9" s="64" t="s">
        <v>12</v>
      </c>
      <c r="F9" s="304">
        <v>36318</v>
      </c>
      <c r="G9" s="64" t="s">
        <v>13</v>
      </c>
      <c r="H9" s="304">
        <v>7409</v>
      </c>
      <c r="I9" s="200" t="s">
        <v>14</v>
      </c>
      <c r="J9" s="304">
        <v>33261</v>
      </c>
      <c r="K9" s="64" t="s">
        <v>15</v>
      </c>
      <c r="L9" s="304">
        <f t="shared" si="0"/>
        <v>85525</v>
      </c>
    </row>
    <row r="10" ht="16" spans="1:12">
      <c r="A10" s="199" t="s">
        <v>9</v>
      </c>
      <c r="B10" s="199" t="s">
        <v>26</v>
      </c>
      <c r="C10" s="200">
        <v>351473</v>
      </c>
      <c r="D10" s="200" t="s">
        <v>11</v>
      </c>
      <c r="E10" s="64" t="s">
        <v>12</v>
      </c>
      <c r="F10" s="304">
        <v>53017</v>
      </c>
      <c r="G10" s="64" t="s">
        <v>13</v>
      </c>
      <c r="H10" s="304">
        <v>31522</v>
      </c>
      <c r="I10" s="200" t="s">
        <v>14</v>
      </c>
      <c r="J10" s="304">
        <v>92466</v>
      </c>
      <c r="K10" s="64" t="s">
        <v>15</v>
      </c>
      <c r="L10" s="304">
        <f t="shared" si="0"/>
        <v>174468</v>
      </c>
    </row>
    <row r="11" ht="16" spans="1:12">
      <c r="A11" s="199" t="s">
        <v>9</v>
      </c>
      <c r="B11" s="199" t="s">
        <v>27</v>
      </c>
      <c r="C11" s="200">
        <v>115869</v>
      </c>
      <c r="D11" s="200" t="s">
        <v>11</v>
      </c>
      <c r="E11" s="64" t="s">
        <v>12</v>
      </c>
      <c r="F11" s="304">
        <v>38781</v>
      </c>
      <c r="G11" s="64" t="s">
        <v>13</v>
      </c>
      <c r="H11" s="304">
        <v>12729</v>
      </c>
      <c r="I11" s="200" t="s">
        <v>14</v>
      </c>
      <c r="J11" s="304">
        <v>19782</v>
      </c>
      <c r="K11" s="64" t="s">
        <v>15</v>
      </c>
      <c r="L11" s="304">
        <f t="shared" si="0"/>
        <v>44577</v>
      </c>
    </row>
    <row r="12" ht="16" spans="1:12">
      <c r="A12" s="199" t="s">
        <v>9</v>
      </c>
      <c r="B12" s="200" t="s">
        <v>28</v>
      </c>
      <c r="C12" s="200">
        <v>18319</v>
      </c>
      <c r="D12" s="200" t="s">
        <v>11</v>
      </c>
      <c r="E12" s="64" t="s">
        <v>12</v>
      </c>
      <c r="F12" s="304">
        <v>18319</v>
      </c>
      <c r="G12" s="64"/>
      <c r="H12" s="200"/>
      <c r="I12" s="200"/>
      <c r="J12" s="200"/>
      <c r="K12" s="64"/>
      <c r="L12" s="200"/>
    </row>
    <row r="13" ht="16" spans="1:12">
      <c r="A13" s="199" t="s">
        <v>29</v>
      </c>
      <c r="B13" s="200" t="s">
        <v>30</v>
      </c>
      <c r="C13" s="200">
        <v>49673</v>
      </c>
      <c r="D13" s="200" t="s">
        <v>11</v>
      </c>
      <c r="E13" s="64" t="s">
        <v>12</v>
      </c>
      <c r="F13" s="200">
        <v>7839</v>
      </c>
      <c r="G13" s="64" t="s">
        <v>13</v>
      </c>
      <c r="H13" s="200">
        <v>1056</v>
      </c>
      <c r="I13" s="200" t="s">
        <v>14</v>
      </c>
      <c r="J13" s="200">
        <v>2751</v>
      </c>
      <c r="K13" s="64" t="s">
        <v>15</v>
      </c>
      <c r="L13" s="200">
        <f t="shared" ref="L13:L21" si="1">C13-F13-H13-J13</f>
        <v>38027</v>
      </c>
    </row>
    <row r="14" ht="16" spans="1:12">
      <c r="A14" s="199" t="s">
        <v>29</v>
      </c>
      <c r="B14" s="200" t="s">
        <v>31</v>
      </c>
      <c r="C14" s="200">
        <v>218107</v>
      </c>
      <c r="D14" s="200" t="s">
        <v>11</v>
      </c>
      <c r="E14" s="64" t="s">
        <v>12</v>
      </c>
      <c r="F14" s="304">
        <v>65503</v>
      </c>
      <c r="G14" s="64" t="s">
        <v>13</v>
      </c>
      <c r="H14" s="304">
        <v>26085</v>
      </c>
      <c r="I14" s="200" t="s">
        <v>14</v>
      </c>
      <c r="J14" s="304">
        <v>33834</v>
      </c>
      <c r="K14" s="64" t="s">
        <v>15</v>
      </c>
      <c r="L14" s="304">
        <f t="shared" si="1"/>
        <v>92685</v>
      </c>
    </row>
    <row r="15" ht="16" spans="1:12">
      <c r="A15" s="199" t="s">
        <v>29</v>
      </c>
      <c r="B15" s="200" t="s">
        <v>32</v>
      </c>
      <c r="C15" s="200">
        <v>253573</v>
      </c>
      <c r="D15" s="200" t="s">
        <v>11</v>
      </c>
      <c r="E15" s="64" t="s">
        <v>12</v>
      </c>
      <c r="F15" s="304">
        <v>66466</v>
      </c>
      <c r="G15" s="64" t="s">
        <v>13</v>
      </c>
      <c r="H15" s="304">
        <v>31269</v>
      </c>
      <c r="I15" s="200" t="s">
        <v>14</v>
      </c>
      <c r="J15" s="304">
        <v>56191</v>
      </c>
      <c r="K15" s="64" t="s">
        <v>15</v>
      </c>
      <c r="L15" s="304">
        <f t="shared" si="1"/>
        <v>99647</v>
      </c>
    </row>
    <row r="16" ht="16" spans="1:12">
      <c r="A16" s="199" t="s">
        <v>29</v>
      </c>
      <c r="B16" s="200" t="s">
        <v>33</v>
      </c>
      <c r="C16" s="200">
        <v>708755</v>
      </c>
      <c r="D16" s="200" t="s">
        <v>11</v>
      </c>
      <c r="E16" s="64" t="s">
        <v>12</v>
      </c>
      <c r="F16" s="304">
        <v>186553</v>
      </c>
      <c r="G16" s="64" t="s">
        <v>13</v>
      </c>
      <c r="H16" s="304">
        <v>79522</v>
      </c>
      <c r="I16" s="200" t="s">
        <v>14</v>
      </c>
      <c r="J16" s="304">
        <v>166635</v>
      </c>
      <c r="K16" t="s">
        <v>15</v>
      </c>
      <c r="L16" s="304">
        <f t="shared" si="1"/>
        <v>276045</v>
      </c>
    </row>
    <row r="17" ht="16" spans="1:12">
      <c r="A17" s="199" t="s">
        <v>29</v>
      </c>
      <c r="B17" s="200" t="s">
        <v>34</v>
      </c>
      <c r="C17" s="200">
        <v>126712</v>
      </c>
      <c r="D17" s="200" t="s">
        <v>11</v>
      </c>
      <c r="E17" s="64" t="s">
        <v>12</v>
      </c>
      <c r="F17" s="304">
        <v>12117</v>
      </c>
      <c r="G17" s="64" t="s">
        <v>13</v>
      </c>
      <c r="H17" s="304">
        <v>7864</v>
      </c>
      <c r="I17" s="200" t="s">
        <v>14</v>
      </c>
      <c r="J17" s="304">
        <v>31086</v>
      </c>
      <c r="K17" s="64" t="s">
        <v>15</v>
      </c>
      <c r="L17" s="304">
        <f t="shared" si="1"/>
        <v>75645</v>
      </c>
    </row>
    <row r="18" ht="16" spans="1:12">
      <c r="A18" s="199" t="s">
        <v>29</v>
      </c>
      <c r="B18" s="200" t="s">
        <v>35</v>
      </c>
      <c r="C18" s="200">
        <v>195603</v>
      </c>
      <c r="D18" s="200" t="s">
        <v>11</v>
      </c>
      <c r="E18" s="64" t="s">
        <v>12</v>
      </c>
      <c r="F18" s="304">
        <v>53676</v>
      </c>
      <c r="G18" s="64" t="s">
        <v>13</v>
      </c>
      <c r="H18" s="304">
        <v>20864</v>
      </c>
      <c r="I18" s="200" t="s">
        <v>14</v>
      </c>
      <c r="J18" s="304">
        <v>37445</v>
      </c>
      <c r="K18" s="64" t="s">
        <v>15</v>
      </c>
      <c r="L18" s="304">
        <f t="shared" si="1"/>
        <v>83618</v>
      </c>
    </row>
    <row r="19" ht="16" spans="1:12">
      <c r="A19" s="199" t="s">
        <v>29</v>
      </c>
      <c r="B19" s="200" t="s">
        <v>36</v>
      </c>
      <c r="C19" s="200">
        <v>63974</v>
      </c>
      <c r="D19" s="200" t="s">
        <v>11</v>
      </c>
      <c r="E19" s="64" t="s">
        <v>12</v>
      </c>
      <c r="F19" s="304">
        <v>521</v>
      </c>
      <c r="G19" s="64" t="s">
        <v>13</v>
      </c>
      <c r="H19" s="304">
        <v>3806</v>
      </c>
      <c r="I19" s="200" t="s">
        <v>14</v>
      </c>
      <c r="J19" s="304">
        <v>9483</v>
      </c>
      <c r="K19" s="64" t="s">
        <v>15</v>
      </c>
      <c r="L19" s="304">
        <f t="shared" si="1"/>
        <v>50164</v>
      </c>
    </row>
    <row r="20" ht="16" spans="1:12">
      <c r="A20" s="199" t="s">
        <v>29</v>
      </c>
      <c r="B20" s="200" t="s">
        <v>37</v>
      </c>
      <c r="C20" s="200">
        <v>100432</v>
      </c>
      <c r="D20" s="200" t="s">
        <v>11</v>
      </c>
      <c r="E20" s="64" t="s">
        <v>12</v>
      </c>
      <c r="F20" s="304">
        <v>32326</v>
      </c>
      <c r="G20" s="64" t="s">
        <v>13</v>
      </c>
      <c r="H20" s="304">
        <v>19185</v>
      </c>
      <c r="I20" s="200" t="s">
        <v>14</v>
      </c>
      <c r="J20" s="304">
        <v>35470</v>
      </c>
      <c r="K20" s="64" t="s">
        <v>15</v>
      </c>
      <c r="L20" s="304">
        <f t="shared" si="1"/>
        <v>13451</v>
      </c>
    </row>
    <row r="21" ht="16" spans="1:12">
      <c r="A21" s="199" t="s">
        <v>29</v>
      </c>
      <c r="B21" s="200" t="s">
        <v>38</v>
      </c>
      <c r="C21" s="200">
        <v>257631</v>
      </c>
      <c r="D21" s="200" t="s">
        <v>11</v>
      </c>
      <c r="E21" s="64" t="s">
        <v>12</v>
      </c>
      <c r="F21" s="304">
        <v>44370</v>
      </c>
      <c r="G21" s="64" t="s">
        <v>13</v>
      </c>
      <c r="H21" s="304">
        <v>29028</v>
      </c>
      <c r="I21" s="200" t="s">
        <v>14</v>
      </c>
      <c r="J21" s="304">
        <v>68334</v>
      </c>
      <c r="K21" s="64" t="s">
        <v>15</v>
      </c>
      <c r="L21" s="304">
        <f t="shared" si="1"/>
        <v>115899</v>
      </c>
    </row>
    <row r="22" ht="19" customHeight="1" spans="1:12">
      <c r="A22" s="199" t="s">
        <v>29</v>
      </c>
      <c r="B22" s="200" t="s">
        <v>39</v>
      </c>
      <c r="C22" s="200">
        <v>19144</v>
      </c>
      <c r="D22" s="200" t="s">
        <v>11</v>
      </c>
      <c r="E22" s="64" t="s">
        <v>40</v>
      </c>
      <c r="F22" s="304">
        <v>19144</v>
      </c>
      <c r="G22" s="64"/>
      <c r="H22" s="200"/>
      <c r="I22" s="200"/>
      <c r="J22" s="200"/>
      <c r="K22" s="64"/>
      <c r="L22" s="200"/>
    </row>
    <row r="23" ht="16" spans="1:12">
      <c r="A23" s="199" t="s">
        <v>41</v>
      </c>
      <c r="B23" s="200" t="s">
        <v>42</v>
      </c>
      <c r="C23" s="202">
        <v>136342</v>
      </c>
      <c r="D23" s="202" t="s">
        <v>17</v>
      </c>
      <c r="E23" s="203" t="s">
        <v>18</v>
      </c>
      <c r="F23" s="307">
        <v>50974</v>
      </c>
      <c r="G23" s="203" t="s">
        <v>19</v>
      </c>
      <c r="H23" s="307">
        <v>16402</v>
      </c>
      <c r="I23" s="202" t="s">
        <v>20</v>
      </c>
      <c r="J23" s="307">
        <v>19597</v>
      </c>
      <c r="K23" s="203" t="s">
        <v>21</v>
      </c>
      <c r="L23" s="307">
        <f>C23-F23-H23-J23</f>
        <v>49369</v>
      </c>
    </row>
    <row r="24" ht="16" spans="1:12">
      <c r="A24" s="199" t="s">
        <v>41</v>
      </c>
      <c r="B24" s="200" t="s">
        <v>43</v>
      </c>
      <c r="C24" s="200">
        <v>213766</v>
      </c>
      <c r="D24" s="200" t="s">
        <v>11</v>
      </c>
      <c r="E24" s="64" t="s">
        <v>12</v>
      </c>
      <c r="F24" s="304">
        <v>41714</v>
      </c>
      <c r="G24" s="64" t="s">
        <v>13</v>
      </c>
      <c r="H24" s="304">
        <v>72616</v>
      </c>
      <c r="I24" s="200" t="s">
        <v>14</v>
      </c>
      <c r="J24" s="304">
        <v>31595</v>
      </c>
      <c r="K24" s="64" t="s">
        <v>15</v>
      </c>
      <c r="L24" s="304">
        <f>C24-F24-H24-J24</f>
        <v>67841</v>
      </c>
    </row>
    <row r="25" ht="16" spans="1:12">
      <c r="A25" s="199" t="s">
        <v>41</v>
      </c>
      <c r="B25" s="200" t="s">
        <v>44</v>
      </c>
      <c r="C25" s="200">
        <v>469757</v>
      </c>
      <c r="D25" s="200" t="s">
        <v>11</v>
      </c>
      <c r="E25" s="64" t="s">
        <v>12</v>
      </c>
      <c r="F25" s="304">
        <v>136462</v>
      </c>
      <c r="G25" s="64" t="s">
        <v>13</v>
      </c>
      <c r="H25" s="304">
        <v>84764</v>
      </c>
      <c r="I25" s="200" t="s">
        <v>14</v>
      </c>
      <c r="J25" s="304">
        <v>133402</v>
      </c>
      <c r="K25" s="64" t="s">
        <v>15</v>
      </c>
      <c r="L25" s="304">
        <f>C25-F25-H25-J25</f>
        <v>115129</v>
      </c>
    </row>
    <row r="26" ht="31" spans="1:12">
      <c r="A26" s="199" t="s">
        <v>41</v>
      </c>
      <c r="B26" s="199" t="s">
        <v>45</v>
      </c>
      <c r="C26" s="200">
        <v>239572</v>
      </c>
      <c r="D26" s="200" t="s">
        <v>11</v>
      </c>
      <c r="E26" s="64" t="s">
        <v>12</v>
      </c>
      <c r="F26" s="304">
        <v>94433</v>
      </c>
      <c r="G26" s="64" t="s">
        <v>13</v>
      </c>
      <c r="H26" s="304">
        <v>42781</v>
      </c>
      <c r="I26" s="200" t="s">
        <v>14</v>
      </c>
      <c r="J26" s="304">
        <v>51979</v>
      </c>
      <c r="K26" s="64" t="s">
        <v>15</v>
      </c>
      <c r="L26" s="304">
        <f>C26-F26-H26-J26</f>
        <v>50379</v>
      </c>
    </row>
    <row r="27" ht="16" spans="1:12">
      <c r="A27" s="199" t="s">
        <v>41</v>
      </c>
      <c r="B27" s="200" t="s">
        <v>46</v>
      </c>
      <c r="C27" s="200">
        <v>25515</v>
      </c>
      <c r="D27" s="200" t="s">
        <v>11</v>
      </c>
      <c r="E27" s="64" t="s">
        <v>12</v>
      </c>
      <c r="F27" s="304">
        <v>25515</v>
      </c>
      <c r="G27" s="64"/>
      <c r="H27" s="64"/>
      <c r="I27" s="64"/>
      <c r="J27" s="64"/>
      <c r="K27" s="64"/>
      <c r="L27" s="64"/>
    </row>
    <row r="28" ht="16" spans="1:12">
      <c r="A28" s="199" t="s">
        <v>41</v>
      </c>
      <c r="B28" s="200" t="s">
        <v>47</v>
      </c>
      <c r="C28" s="200">
        <v>11046</v>
      </c>
      <c r="D28" s="200" t="s">
        <v>11</v>
      </c>
      <c r="E28" s="64" t="s">
        <v>12</v>
      </c>
      <c r="F28" s="304">
        <v>11046</v>
      </c>
      <c r="G28" s="64"/>
      <c r="H28" s="64"/>
      <c r="I28" s="64"/>
      <c r="J28" s="64"/>
      <c r="K28" s="64"/>
      <c r="L28" s="64"/>
    </row>
  </sheetData>
  <mergeCells count="4">
    <mergeCell ref="A1:L1"/>
    <mergeCell ref="A2:B2"/>
    <mergeCell ref="C2:D2"/>
    <mergeCell ref="G2:L2"/>
  </mergeCells>
  <dataValidations count="1">
    <dataValidation type="list" allowBlank="1" showErrorMessage="1" sqref="A4:A28">
      <formula1>"变美,健康,兴趣"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7"/>
  <sheetViews>
    <sheetView workbookViewId="0">
      <selection activeCell="A1" sqref="A1:L1"/>
    </sheetView>
  </sheetViews>
  <sheetFormatPr defaultColWidth="14" defaultRowHeight="15.2"/>
  <cols>
    <col min="2" max="2" width="19" customWidth="1"/>
    <col min="5" max="5" width="28" customWidth="1"/>
    <col min="7" max="7" width="30" customWidth="1"/>
    <col min="9" max="9" width="29" customWidth="1"/>
    <col min="11" max="11" width="27" customWidth="1"/>
  </cols>
  <sheetData>
    <row r="1" ht="26" spans="1:12">
      <c r="A1" s="193" t="s">
        <v>48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</row>
    <row r="2" ht="17.6" spans="1:12">
      <c r="A2" s="194" t="s">
        <v>1</v>
      </c>
      <c r="B2" s="194"/>
      <c r="C2" s="195" t="s">
        <v>2</v>
      </c>
      <c r="D2" s="195"/>
      <c r="E2" s="195"/>
      <c r="F2" s="195"/>
      <c r="G2" s="195" t="s">
        <v>3</v>
      </c>
      <c r="H2" s="195"/>
      <c r="I2" s="195"/>
      <c r="J2" s="195"/>
      <c r="K2" s="195"/>
      <c r="L2" s="195"/>
    </row>
    <row r="3" ht="36" spans="1:12">
      <c r="A3" s="196" t="s">
        <v>4</v>
      </c>
      <c r="B3" s="196" t="s">
        <v>5</v>
      </c>
      <c r="C3" s="196" t="s">
        <v>6</v>
      </c>
      <c r="D3" s="197" t="s">
        <v>7</v>
      </c>
      <c r="E3" s="198" t="s">
        <v>7</v>
      </c>
      <c r="F3" s="198" t="s">
        <v>8</v>
      </c>
      <c r="G3" s="198" t="s">
        <v>7</v>
      </c>
      <c r="H3" s="198" t="s">
        <v>8</v>
      </c>
      <c r="I3" s="198" t="s">
        <v>7</v>
      </c>
      <c r="J3" s="198" t="s">
        <v>8</v>
      </c>
      <c r="K3" s="198" t="s">
        <v>7</v>
      </c>
      <c r="L3" s="198" t="s">
        <v>8</v>
      </c>
    </row>
    <row r="4" ht="16" spans="1:12">
      <c r="A4" s="199" t="s">
        <v>9</v>
      </c>
      <c r="B4" s="199" t="s">
        <v>10</v>
      </c>
      <c r="C4" s="200">
        <v>230493</v>
      </c>
      <c r="D4" s="200" t="s">
        <v>17</v>
      </c>
      <c r="E4" s="64" t="s">
        <v>18</v>
      </c>
      <c r="F4" s="304">
        <v>52052</v>
      </c>
      <c r="G4" s="64" t="s">
        <v>19</v>
      </c>
      <c r="H4" s="304">
        <v>25370</v>
      </c>
      <c r="I4" s="200" t="s">
        <v>20</v>
      </c>
      <c r="J4" s="304">
        <v>41650</v>
      </c>
      <c r="K4" s="64" t="s">
        <v>21</v>
      </c>
      <c r="L4" s="304">
        <f t="shared" ref="L4:L11" si="0">C4-F4-H4-J4</f>
        <v>111421</v>
      </c>
    </row>
    <row r="5" ht="31" spans="1:12">
      <c r="A5" s="199" t="s">
        <v>9</v>
      </c>
      <c r="B5" s="199" t="s">
        <v>16</v>
      </c>
      <c r="C5" s="202">
        <f>202104-9947</f>
        <v>192157</v>
      </c>
      <c r="D5" s="202" t="s">
        <v>49</v>
      </c>
      <c r="E5" s="64" t="s">
        <v>50</v>
      </c>
      <c r="F5" s="304">
        <f>8234-347</f>
        <v>7887</v>
      </c>
      <c r="G5" s="64" t="s">
        <v>51</v>
      </c>
      <c r="H5" s="304">
        <f>28348-6481</f>
        <v>21867</v>
      </c>
      <c r="I5" s="200" t="s">
        <v>52</v>
      </c>
      <c r="J5" s="304">
        <f>10806-3120</f>
        <v>7686</v>
      </c>
      <c r="K5" s="64" t="s">
        <v>53</v>
      </c>
      <c r="L5" s="304">
        <f t="shared" si="0"/>
        <v>154717</v>
      </c>
    </row>
    <row r="6" ht="16" spans="1:12">
      <c r="A6" s="199" t="s">
        <v>9</v>
      </c>
      <c r="B6" s="200" t="s">
        <v>22</v>
      </c>
      <c r="C6" s="202">
        <v>87003</v>
      </c>
      <c r="D6" s="202" t="s">
        <v>49</v>
      </c>
      <c r="E6" s="64" t="s">
        <v>50</v>
      </c>
      <c r="F6" s="304">
        <v>14600</v>
      </c>
      <c r="G6" s="64" t="s">
        <v>51</v>
      </c>
      <c r="H6" s="304">
        <v>37826</v>
      </c>
      <c r="I6" s="200" t="s">
        <v>52</v>
      </c>
      <c r="J6" s="304">
        <v>13851</v>
      </c>
      <c r="K6" s="64" t="s">
        <v>53</v>
      </c>
      <c r="L6" s="304">
        <f t="shared" si="0"/>
        <v>20726</v>
      </c>
    </row>
    <row r="7" ht="16" spans="1:12">
      <c r="A7" s="199" t="s">
        <v>9</v>
      </c>
      <c r="B7" s="200" t="s">
        <v>23</v>
      </c>
      <c r="C7" s="200">
        <v>223119</v>
      </c>
      <c r="D7" s="200" t="s">
        <v>17</v>
      </c>
      <c r="E7" s="64" t="s">
        <v>18</v>
      </c>
      <c r="F7" s="304">
        <v>34095</v>
      </c>
      <c r="G7" s="64" t="s">
        <v>19</v>
      </c>
      <c r="H7" s="304">
        <v>44299</v>
      </c>
      <c r="I7" s="200" t="s">
        <v>20</v>
      </c>
      <c r="J7" s="304">
        <v>37877</v>
      </c>
      <c r="K7" s="64" t="s">
        <v>21</v>
      </c>
      <c r="L7" s="304">
        <f t="shared" si="0"/>
        <v>106848</v>
      </c>
    </row>
    <row r="8" ht="16" spans="1:12">
      <c r="A8" s="199" t="s">
        <v>9</v>
      </c>
      <c r="B8" s="199" t="s">
        <v>24</v>
      </c>
      <c r="C8" s="200">
        <v>185543</v>
      </c>
      <c r="D8" s="200" t="s">
        <v>17</v>
      </c>
      <c r="E8" s="64" t="s">
        <v>18</v>
      </c>
      <c r="F8" s="304">
        <v>83383</v>
      </c>
      <c r="G8" s="64" t="s">
        <v>19</v>
      </c>
      <c r="H8" s="304">
        <v>13157</v>
      </c>
      <c r="I8" s="200" t="s">
        <v>20</v>
      </c>
      <c r="J8" s="304">
        <v>22143</v>
      </c>
      <c r="K8" s="64" t="s">
        <v>21</v>
      </c>
      <c r="L8" s="304">
        <f t="shared" si="0"/>
        <v>66860</v>
      </c>
    </row>
    <row r="9" ht="16" spans="1:12">
      <c r="A9" s="199" t="s">
        <v>9</v>
      </c>
      <c r="B9" s="199" t="s">
        <v>25</v>
      </c>
      <c r="C9" s="200">
        <v>165220</v>
      </c>
      <c r="D9" s="200" t="s">
        <v>17</v>
      </c>
      <c r="E9" s="64" t="s">
        <v>18</v>
      </c>
      <c r="F9" s="304">
        <v>37352</v>
      </c>
      <c r="G9" s="64" t="s">
        <v>19</v>
      </c>
      <c r="H9" s="304">
        <v>8884</v>
      </c>
      <c r="I9" s="200" t="s">
        <v>20</v>
      </c>
      <c r="J9" s="304">
        <v>34249</v>
      </c>
      <c r="K9" s="64" t="s">
        <v>21</v>
      </c>
      <c r="L9" s="304">
        <f t="shared" si="0"/>
        <v>84735</v>
      </c>
    </row>
    <row r="10" ht="16" spans="1:12">
      <c r="A10" s="199" t="s">
        <v>9</v>
      </c>
      <c r="B10" s="199" t="s">
        <v>26</v>
      </c>
      <c r="C10" s="200">
        <v>354150</v>
      </c>
      <c r="D10" s="200" t="s">
        <v>17</v>
      </c>
      <c r="E10" s="64" t="s">
        <v>18</v>
      </c>
      <c r="F10" s="304">
        <v>54129</v>
      </c>
      <c r="G10" s="64" t="s">
        <v>19</v>
      </c>
      <c r="H10" s="304">
        <v>35476</v>
      </c>
      <c r="I10" s="200" t="s">
        <v>20</v>
      </c>
      <c r="J10" s="304">
        <v>91783</v>
      </c>
      <c r="K10" s="64" t="s">
        <v>21</v>
      </c>
      <c r="L10" s="304">
        <f t="shared" si="0"/>
        <v>172762</v>
      </c>
    </row>
    <row r="11" ht="16" spans="1:12">
      <c r="A11" s="199" t="s">
        <v>9</v>
      </c>
      <c r="B11" s="199" t="s">
        <v>27</v>
      </c>
      <c r="C11" s="200">
        <v>115542</v>
      </c>
      <c r="D11" s="200" t="s">
        <v>17</v>
      </c>
      <c r="E11" s="64" t="s">
        <v>18</v>
      </c>
      <c r="F11" s="304">
        <v>38514</v>
      </c>
      <c r="G11" s="64" t="s">
        <v>19</v>
      </c>
      <c r="H11" s="304">
        <v>13557</v>
      </c>
      <c r="I11" s="200" t="s">
        <v>20</v>
      </c>
      <c r="J11" s="304">
        <v>18552</v>
      </c>
      <c r="K11" s="64" t="s">
        <v>21</v>
      </c>
      <c r="L11" s="304">
        <f t="shared" si="0"/>
        <v>44919</v>
      </c>
    </row>
    <row r="12" ht="16" spans="1:12">
      <c r="A12" s="199" t="s">
        <v>9</v>
      </c>
      <c r="B12" s="200" t="s">
        <v>28</v>
      </c>
      <c r="C12" s="200">
        <v>18006</v>
      </c>
      <c r="D12" s="200" t="s">
        <v>17</v>
      </c>
      <c r="E12" s="64" t="s">
        <v>54</v>
      </c>
      <c r="F12" s="304">
        <v>18006</v>
      </c>
      <c r="G12" s="64"/>
      <c r="H12" s="200"/>
      <c r="I12" s="200"/>
      <c r="J12" s="200"/>
      <c r="K12" s="64"/>
      <c r="L12" s="200"/>
    </row>
    <row r="13" ht="16" spans="1:12">
      <c r="A13" s="199" t="s">
        <v>29</v>
      </c>
      <c r="B13" s="200" t="s">
        <v>30</v>
      </c>
      <c r="C13" s="200">
        <v>50093</v>
      </c>
      <c r="D13" s="200" t="s">
        <v>17</v>
      </c>
      <c r="E13" s="64" t="s">
        <v>18</v>
      </c>
      <c r="F13" s="304">
        <v>7879</v>
      </c>
      <c r="G13" s="64" t="s">
        <v>19</v>
      </c>
      <c r="H13" s="304">
        <v>1101</v>
      </c>
      <c r="I13" s="200" t="s">
        <v>20</v>
      </c>
      <c r="J13" s="304">
        <v>2840</v>
      </c>
      <c r="K13" s="64" t="s">
        <v>21</v>
      </c>
      <c r="L13" s="304">
        <f t="shared" ref="L13:L25" si="1">C13-F13-H13-J13</f>
        <v>38273</v>
      </c>
    </row>
    <row r="14" ht="16" spans="1:12">
      <c r="A14" s="199" t="s">
        <v>29</v>
      </c>
      <c r="B14" s="200" t="s">
        <v>31</v>
      </c>
      <c r="C14" s="200">
        <v>214659</v>
      </c>
      <c r="D14" s="200" t="s">
        <v>17</v>
      </c>
      <c r="E14" s="64" t="s">
        <v>18</v>
      </c>
      <c r="F14" s="304">
        <v>66078</v>
      </c>
      <c r="G14" s="64" t="s">
        <v>19</v>
      </c>
      <c r="H14" s="304">
        <v>23296</v>
      </c>
      <c r="I14" s="200" t="s">
        <v>20</v>
      </c>
      <c r="J14" s="304">
        <v>33427</v>
      </c>
      <c r="K14" s="64" t="s">
        <v>21</v>
      </c>
      <c r="L14" s="304">
        <f t="shared" si="1"/>
        <v>91858</v>
      </c>
    </row>
    <row r="15" ht="16" spans="1:12">
      <c r="A15" s="199" t="s">
        <v>29</v>
      </c>
      <c r="B15" s="200" t="s">
        <v>32</v>
      </c>
      <c r="C15" s="200">
        <v>249304</v>
      </c>
      <c r="D15" s="200" t="s">
        <v>17</v>
      </c>
      <c r="E15" s="64" t="s">
        <v>18</v>
      </c>
      <c r="F15" s="304">
        <v>64444</v>
      </c>
      <c r="G15" s="64" t="s">
        <v>19</v>
      </c>
      <c r="H15" s="304">
        <v>30510</v>
      </c>
      <c r="I15" s="200" t="s">
        <v>20</v>
      </c>
      <c r="J15" s="304">
        <v>55232</v>
      </c>
      <c r="K15" s="64" t="s">
        <v>21</v>
      </c>
      <c r="L15" s="304">
        <f t="shared" si="1"/>
        <v>99118</v>
      </c>
    </row>
    <row r="16" ht="16" spans="1:12">
      <c r="A16" s="199" t="s">
        <v>29</v>
      </c>
      <c r="B16" s="200" t="s">
        <v>33</v>
      </c>
      <c r="C16" s="200">
        <v>698832</v>
      </c>
      <c r="D16" s="200" t="s">
        <v>17</v>
      </c>
      <c r="E16" s="64" t="s">
        <v>18</v>
      </c>
      <c r="F16" s="304">
        <v>182078</v>
      </c>
      <c r="G16" s="64" t="s">
        <v>19</v>
      </c>
      <c r="H16" s="304">
        <v>75555</v>
      </c>
      <c r="I16" s="200" t="s">
        <v>20</v>
      </c>
      <c r="J16" s="304">
        <v>162481</v>
      </c>
      <c r="K16" s="64" t="s">
        <v>21</v>
      </c>
      <c r="L16" s="200">
        <f t="shared" si="1"/>
        <v>278718</v>
      </c>
    </row>
    <row r="17" ht="16" spans="1:13">
      <c r="A17" s="199" t="s">
        <v>29</v>
      </c>
      <c r="B17" s="200" t="s">
        <v>34</v>
      </c>
      <c r="C17" s="200">
        <v>126845</v>
      </c>
      <c r="D17" s="200" t="s">
        <v>17</v>
      </c>
      <c r="E17" s="64" t="s">
        <v>18</v>
      </c>
      <c r="F17" s="304">
        <v>11612</v>
      </c>
      <c r="G17" s="64" t="s">
        <v>19</v>
      </c>
      <c r="H17" s="304">
        <v>9093</v>
      </c>
      <c r="I17" s="200" t="s">
        <v>20</v>
      </c>
      <c r="J17" s="305">
        <v>30714</v>
      </c>
      <c r="K17" s="64" t="s">
        <v>21</v>
      </c>
      <c r="L17" s="305">
        <f t="shared" si="1"/>
        <v>75426</v>
      </c>
    </row>
    <row r="18" ht="16" spans="1:13">
      <c r="A18" s="199" t="s">
        <v>29</v>
      </c>
      <c r="B18" s="200" t="s">
        <v>35</v>
      </c>
      <c r="C18" s="200">
        <v>194905</v>
      </c>
      <c r="D18" s="200" t="s">
        <v>17</v>
      </c>
      <c r="E18" s="64" t="s">
        <v>18</v>
      </c>
      <c r="F18" s="304">
        <v>52360</v>
      </c>
      <c r="G18" s="64" t="s">
        <v>19</v>
      </c>
      <c r="H18" s="304">
        <v>20088</v>
      </c>
      <c r="I18" s="200" t="s">
        <v>20</v>
      </c>
      <c r="J18" s="305">
        <v>36399</v>
      </c>
      <c r="K18" s="64" t="s">
        <v>21</v>
      </c>
      <c r="L18" s="305">
        <f t="shared" si="1"/>
        <v>86058</v>
      </c>
    </row>
    <row r="19" ht="16" spans="1:13">
      <c r="A19" s="199" t="s">
        <v>29</v>
      </c>
      <c r="B19" s="200" t="s">
        <v>55</v>
      </c>
      <c r="C19" s="200">
        <v>64476</v>
      </c>
      <c r="D19" s="200" t="s">
        <v>17</v>
      </c>
      <c r="E19" s="64" t="s">
        <v>18</v>
      </c>
      <c r="F19" s="304">
        <v>848</v>
      </c>
      <c r="G19" s="64" t="s">
        <v>19</v>
      </c>
      <c r="H19" s="304">
        <v>3678</v>
      </c>
      <c r="I19" s="200" t="s">
        <v>20</v>
      </c>
      <c r="J19" s="304">
        <v>9861</v>
      </c>
      <c r="K19" s="64" t="s">
        <v>21</v>
      </c>
      <c r="L19" s="304">
        <f t="shared" si="1"/>
        <v>50089</v>
      </c>
    </row>
    <row r="20" ht="16" spans="1:13">
      <c r="A20" s="199" t="s">
        <v>29</v>
      </c>
      <c r="B20" s="200" t="s">
        <v>37</v>
      </c>
      <c r="C20" s="200">
        <v>98486</v>
      </c>
      <c r="D20" s="200" t="s">
        <v>17</v>
      </c>
      <c r="E20" s="64" t="s">
        <v>18</v>
      </c>
      <c r="F20" s="304">
        <v>31175</v>
      </c>
      <c r="G20" s="64" t="s">
        <v>19</v>
      </c>
      <c r="H20" s="304">
        <v>19653</v>
      </c>
      <c r="I20" s="200" t="s">
        <v>20</v>
      </c>
      <c r="J20" s="305">
        <v>34056</v>
      </c>
      <c r="K20" s="64" t="s">
        <v>21</v>
      </c>
      <c r="L20" s="305">
        <f t="shared" si="1"/>
        <v>13602</v>
      </c>
    </row>
    <row r="21" ht="16" spans="1:13">
      <c r="A21" s="199" t="s">
        <v>29</v>
      </c>
      <c r="B21" s="200" t="s">
        <v>38</v>
      </c>
      <c r="C21" s="200">
        <v>256709</v>
      </c>
      <c r="D21" s="200" t="s">
        <v>17</v>
      </c>
      <c r="E21" s="64" t="s">
        <v>18</v>
      </c>
      <c r="F21" s="304">
        <v>44256</v>
      </c>
      <c r="G21" s="64" t="s">
        <v>19</v>
      </c>
      <c r="H21" s="304">
        <v>28339</v>
      </c>
      <c r="I21" s="200" t="s">
        <v>20</v>
      </c>
      <c r="J21" s="304">
        <v>69983</v>
      </c>
      <c r="K21" s="64" t="s">
        <v>21</v>
      </c>
      <c r="L21" s="304">
        <f t="shared" si="1"/>
        <v>114131</v>
      </c>
    </row>
    <row r="22" ht="16" spans="1:13">
      <c r="A22" s="199" t="s">
        <v>41</v>
      </c>
      <c r="B22" s="200" t="s">
        <v>42</v>
      </c>
      <c r="C22" s="202">
        <v>133294</v>
      </c>
      <c r="D22" s="202" t="s">
        <v>49</v>
      </c>
      <c r="E22" s="64" t="s">
        <v>50</v>
      </c>
      <c r="F22" s="304">
        <v>50594</v>
      </c>
      <c r="G22" s="64" t="s">
        <v>51</v>
      </c>
      <c r="H22" s="304">
        <v>17164</v>
      </c>
      <c r="I22" s="200" t="s">
        <v>52</v>
      </c>
      <c r="J22" s="304">
        <v>37467</v>
      </c>
      <c r="K22" s="64" t="s">
        <v>53</v>
      </c>
      <c r="L22" s="304">
        <f t="shared" si="1"/>
        <v>28069</v>
      </c>
      <c r="M22" s="306"/>
    </row>
    <row r="23" ht="16" spans="1:13">
      <c r="A23" s="199" t="s">
        <v>41</v>
      </c>
      <c r="B23" s="200" t="s">
        <v>43</v>
      </c>
      <c r="C23" s="200">
        <v>204464</v>
      </c>
      <c r="D23" s="200" t="s">
        <v>17</v>
      </c>
      <c r="E23" s="64" t="s">
        <v>18</v>
      </c>
      <c r="F23" s="304">
        <v>79147</v>
      </c>
      <c r="G23" s="64" t="s">
        <v>19</v>
      </c>
      <c r="H23" s="304">
        <v>21448</v>
      </c>
      <c r="I23" s="200" t="s">
        <v>20</v>
      </c>
      <c r="J23" s="304">
        <v>32191</v>
      </c>
      <c r="K23" s="64" t="s">
        <v>21</v>
      </c>
      <c r="L23" s="304">
        <f t="shared" si="1"/>
        <v>71678</v>
      </c>
    </row>
    <row r="24" ht="16" spans="1:13">
      <c r="A24" s="199" t="s">
        <v>41</v>
      </c>
      <c r="B24" s="200" t="s">
        <v>44</v>
      </c>
      <c r="C24" s="200">
        <v>471233</v>
      </c>
      <c r="D24" s="200" t="s">
        <v>17</v>
      </c>
      <c r="E24" s="64" t="s">
        <v>18</v>
      </c>
      <c r="F24" s="304">
        <v>138795</v>
      </c>
      <c r="G24" s="64" t="s">
        <v>19</v>
      </c>
      <c r="H24" s="304">
        <v>86492</v>
      </c>
      <c r="I24" s="200" t="s">
        <v>20</v>
      </c>
      <c r="J24" s="304">
        <v>128973</v>
      </c>
      <c r="K24" s="64" t="s">
        <v>21</v>
      </c>
      <c r="L24" s="304">
        <f t="shared" si="1"/>
        <v>116973</v>
      </c>
    </row>
    <row r="25" ht="31" spans="1:13">
      <c r="A25" s="199" t="s">
        <v>41</v>
      </c>
      <c r="B25" s="199" t="s">
        <v>45</v>
      </c>
      <c r="C25" s="200">
        <v>208010</v>
      </c>
      <c r="D25" s="200" t="s">
        <v>17</v>
      </c>
      <c r="E25" s="64" t="s">
        <v>18</v>
      </c>
      <c r="F25" s="304">
        <v>71498</v>
      </c>
      <c r="G25" s="64" t="s">
        <v>19</v>
      </c>
      <c r="H25" s="304">
        <v>35271</v>
      </c>
      <c r="I25" s="200" t="s">
        <v>20</v>
      </c>
      <c r="J25" s="304">
        <v>50519</v>
      </c>
      <c r="K25" s="64" t="s">
        <v>21</v>
      </c>
      <c r="L25" s="304">
        <f t="shared" si="1"/>
        <v>50722</v>
      </c>
    </row>
    <row r="26" ht="16" spans="1:13">
      <c r="A26" s="199" t="s">
        <v>41</v>
      </c>
      <c r="B26" s="200" t="s">
        <v>46</v>
      </c>
      <c r="C26" s="200">
        <v>21556</v>
      </c>
      <c r="D26" s="200" t="s">
        <v>17</v>
      </c>
      <c r="E26" s="64" t="s">
        <v>54</v>
      </c>
      <c r="F26" s="304">
        <v>21556</v>
      </c>
      <c r="G26" s="64"/>
      <c r="H26" s="64"/>
      <c r="I26" s="64"/>
      <c r="J26" s="64"/>
      <c r="K26" s="64"/>
      <c r="L26" s="64"/>
    </row>
    <row r="27" ht="16" spans="1:13">
      <c r="A27" s="199" t="s">
        <v>41</v>
      </c>
      <c r="B27" s="200" t="s">
        <v>47</v>
      </c>
      <c r="C27" s="200">
        <v>10495</v>
      </c>
      <c r="D27" s="200" t="s">
        <v>17</v>
      </c>
      <c r="E27" s="64" t="s">
        <v>54</v>
      </c>
      <c r="F27" s="304">
        <v>10495</v>
      </c>
      <c r="G27" s="64"/>
      <c r="H27" s="64"/>
      <c r="I27" s="64"/>
      <c r="J27" s="64"/>
      <c r="K27" s="64"/>
      <c r="L27" s="64"/>
    </row>
  </sheetData>
  <mergeCells count="4">
    <mergeCell ref="A1:L1"/>
    <mergeCell ref="A2:B2"/>
    <mergeCell ref="C2:D2"/>
    <mergeCell ref="G2:L2"/>
  </mergeCells>
  <dataValidations count="1">
    <dataValidation type="list" allowBlank="1" showErrorMessage="1" sqref="A4:A27">
      <formula1>"变美,健康,兴趣"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14BA9"/>
    <outlinePr summaryBelow="0" summaryRight="0"/>
  </sheetPr>
  <dimension ref="A1:V126"/>
  <sheetViews>
    <sheetView zoomScale="24" zoomScaleNormal="24" workbookViewId="0">
      <selection activeCell="A1" sqref="A1"/>
    </sheetView>
  </sheetViews>
  <sheetFormatPr defaultColWidth="14" defaultRowHeight="15.2"/>
  <cols>
    <col min="1" max="1" width="18" customWidth="1"/>
    <col min="2" max="2" width="37" customWidth="1"/>
    <col min="3" max="9" width="90" customWidth="1"/>
    <col min="13" max="13" width="35" customWidth="1"/>
    <col min="14" max="19" width="25" customWidth="1"/>
    <col min="20" max="20" width="27" customWidth="1"/>
    <col min="21" max="21" width="51" customWidth="1"/>
    <col min="22" max="22" width="25" customWidth="1"/>
  </cols>
  <sheetData>
    <row r="1" ht="34.4" spans="1:22">
      <c r="A1" s="269" t="s">
        <v>56</v>
      </c>
      <c r="B1" s="270" t="s">
        <v>57</v>
      </c>
      <c r="C1" s="271" t="s">
        <v>58</v>
      </c>
      <c r="D1" s="271" t="s">
        <v>59</v>
      </c>
      <c r="E1" s="271" t="s">
        <v>60</v>
      </c>
      <c r="F1" s="271" t="s">
        <v>61</v>
      </c>
      <c r="G1" s="271" t="s">
        <v>62</v>
      </c>
      <c r="H1" s="271" t="s">
        <v>63</v>
      </c>
      <c r="I1" s="271" t="s">
        <v>64</v>
      </c>
      <c r="J1" s="272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</row>
    <row r="2" ht="34.4" spans="1:22">
      <c r="A2" s="274" t="s">
        <v>65</v>
      </c>
      <c r="B2" s="270"/>
      <c r="C2" s="271">
        <v>18</v>
      </c>
      <c r="D2" s="271">
        <v>19</v>
      </c>
      <c r="E2" s="271">
        <v>20</v>
      </c>
      <c r="F2" s="271">
        <v>21</v>
      </c>
      <c r="G2" s="271">
        <v>22</v>
      </c>
      <c r="H2" s="271">
        <v>23</v>
      </c>
      <c r="I2" s="271">
        <v>24</v>
      </c>
      <c r="J2" s="272"/>
      <c r="K2" s="275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</row>
    <row r="3" ht="156" customHeight="1" spans="1:22">
      <c r="A3" s="269" t="s">
        <v>66</v>
      </c>
      <c r="B3" s="270"/>
      <c r="C3" s="276"/>
      <c r="D3" s="277" t="s">
        <v>67</v>
      </c>
      <c r="E3" s="277" t="s">
        <v>68</v>
      </c>
      <c r="F3" s="277" t="s">
        <v>69</v>
      </c>
      <c r="G3" s="277" t="s">
        <v>70</v>
      </c>
      <c r="H3" s="278" t="s">
        <v>71</v>
      </c>
      <c r="I3" s="272"/>
      <c r="J3" s="272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</row>
    <row r="4" ht="37" customHeight="1" spans="1:22">
      <c r="A4" s="269"/>
      <c r="B4" s="279" t="s">
        <v>72</v>
      </c>
      <c r="C4" s="280"/>
      <c r="D4" s="281" t="s">
        <v>73</v>
      </c>
      <c r="E4" s="281" t="s">
        <v>74</v>
      </c>
      <c r="F4" s="281" t="s">
        <v>73</v>
      </c>
      <c r="G4" s="281" t="s">
        <v>74</v>
      </c>
      <c r="H4" s="280" t="s">
        <v>74</v>
      </c>
      <c r="I4" s="272"/>
      <c r="J4" s="272"/>
      <c r="K4" s="275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</row>
    <row r="5" ht="46" customHeight="1" spans="1:22">
      <c r="A5" s="269"/>
      <c r="B5" s="282" t="s">
        <v>75</v>
      </c>
      <c r="C5" s="280"/>
      <c r="D5" s="283">
        <f>127104+279256+94209</f>
        <v>500569</v>
      </c>
      <c r="E5" s="284">
        <f>149404+40408</f>
        <v>189812</v>
      </c>
      <c r="F5" s="283">
        <f>327269+71491+21019</f>
        <v>419779</v>
      </c>
      <c r="G5" s="283">
        <f>114670+128094+116178</f>
        <v>358942</v>
      </c>
      <c r="H5" s="284">
        <v>206410</v>
      </c>
      <c r="I5" s="272"/>
      <c r="J5" s="272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</row>
    <row r="6" ht="236" customHeight="1" spans="1:22">
      <c r="A6" s="269"/>
      <c r="B6" s="285" t="s">
        <v>76</v>
      </c>
      <c r="C6" s="286"/>
      <c r="D6" s="272" t="s">
        <v>77</v>
      </c>
      <c r="E6" s="272" t="s">
        <v>78</v>
      </c>
      <c r="F6" s="272" t="s">
        <v>79</v>
      </c>
      <c r="G6" s="272" t="s">
        <v>80</v>
      </c>
      <c r="H6" s="272" t="s">
        <v>81</v>
      </c>
      <c r="I6" s="272"/>
      <c r="J6" s="272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</row>
    <row r="7" ht="220" customHeight="1" spans="1:22">
      <c r="A7" s="269"/>
      <c r="B7" s="287" t="s">
        <v>82</v>
      </c>
      <c r="C7" s="280"/>
      <c r="D7" s="273"/>
      <c r="E7" s="273"/>
      <c r="F7" s="273"/>
      <c r="G7" s="272" t="s">
        <v>83</v>
      </c>
      <c r="H7" s="273"/>
      <c r="I7" s="272"/>
      <c r="J7" s="272"/>
      <c r="K7" s="275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</row>
    <row r="8" ht="69" spans="1:22">
      <c r="A8" s="288" t="s">
        <v>84</v>
      </c>
      <c r="B8" s="289" t="s">
        <v>85</v>
      </c>
      <c r="C8" s="290" t="s">
        <v>86</v>
      </c>
      <c r="D8" s="272"/>
      <c r="E8" s="272"/>
      <c r="F8" s="272"/>
      <c r="G8" s="290" t="s">
        <v>87</v>
      </c>
      <c r="H8" s="291"/>
      <c r="I8" s="272"/>
      <c r="J8" s="272"/>
      <c r="K8" s="275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</row>
    <row r="9" ht="38" customHeight="1" spans="1:22">
      <c r="A9" s="288"/>
      <c r="B9" s="279" t="s">
        <v>72</v>
      </c>
      <c r="C9" s="292" t="s">
        <v>88</v>
      </c>
      <c r="D9" s="272"/>
      <c r="E9" s="284"/>
      <c r="F9" s="293"/>
      <c r="G9" s="293" t="s">
        <v>88</v>
      </c>
      <c r="H9" s="280"/>
      <c r="I9" s="272"/>
      <c r="J9" s="272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</row>
    <row r="10" ht="38" customHeight="1" spans="1:22">
      <c r="A10" s="288"/>
      <c r="B10" s="282" t="s">
        <v>75</v>
      </c>
      <c r="C10" s="292">
        <f>137705+338586</f>
        <v>476291</v>
      </c>
      <c r="D10" s="294"/>
      <c r="E10" s="283"/>
      <c r="F10" s="293"/>
      <c r="G10" s="283">
        <f>471229+52136</f>
        <v>523365</v>
      </c>
      <c r="H10" s="281"/>
      <c r="I10" s="272"/>
      <c r="J10" s="272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</row>
    <row r="11" ht="125" hidden="1" customHeight="1" spans="1:22">
      <c r="A11" s="288"/>
      <c r="B11" s="285" t="s">
        <v>76</v>
      </c>
      <c r="C11" s="294"/>
      <c r="D11" s="294"/>
      <c r="E11" s="272"/>
      <c r="F11" s="295"/>
      <c r="G11" s="296"/>
      <c r="H11" s="272"/>
      <c r="I11" s="272"/>
      <c r="J11" s="272"/>
      <c r="K11" s="275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</row>
    <row r="12" ht="149" hidden="1" customHeight="1" spans="1:22">
      <c r="A12" s="288"/>
      <c r="B12" s="287" t="s">
        <v>82</v>
      </c>
      <c r="C12" s="294"/>
      <c r="D12" s="294"/>
      <c r="E12" s="272"/>
      <c r="F12" s="293"/>
      <c r="G12" s="272"/>
      <c r="H12" s="297"/>
      <c r="I12" s="272"/>
      <c r="J12" s="272"/>
      <c r="K12" s="275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</row>
    <row r="13" ht="234" customHeight="1" spans="1:22">
      <c r="A13" s="288"/>
      <c r="B13" s="282" t="s">
        <v>89</v>
      </c>
      <c r="C13" s="297" t="s">
        <v>90</v>
      </c>
      <c r="D13" s="272"/>
      <c r="E13" s="272"/>
      <c r="F13" s="297"/>
      <c r="G13" s="297" t="s">
        <v>91</v>
      </c>
      <c r="H13" s="292"/>
      <c r="I13" s="272"/>
      <c r="J13" s="272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</row>
    <row r="14" ht="138" spans="1:22">
      <c r="A14" s="298" t="s">
        <v>92</v>
      </c>
      <c r="B14" s="289" t="s">
        <v>85</v>
      </c>
      <c r="C14" s="276"/>
      <c r="D14" s="290" t="s">
        <v>93</v>
      </c>
      <c r="E14" s="299" t="s">
        <v>94</v>
      </c>
      <c r="F14" s="300" t="s">
        <v>95</v>
      </c>
      <c r="G14" s="300" t="s">
        <v>96</v>
      </c>
      <c r="H14" s="278" t="s">
        <v>97</v>
      </c>
      <c r="I14" s="272"/>
      <c r="J14" s="272"/>
      <c r="K14" s="275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</row>
    <row r="15" ht="35" spans="1:22">
      <c r="A15" s="298"/>
      <c r="B15" s="279" t="s">
        <v>72</v>
      </c>
      <c r="C15" s="284"/>
      <c r="D15" s="284" t="s">
        <v>88</v>
      </c>
      <c r="E15" s="284" t="s">
        <v>74</v>
      </c>
      <c r="F15" s="292" t="s">
        <v>73</v>
      </c>
      <c r="G15" s="284" t="s">
        <v>74</v>
      </c>
      <c r="H15" s="284" t="s">
        <v>73</v>
      </c>
      <c r="I15" s="272"/>
      <c r="J15" s="272"/>
      <c r="K15" s="275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</row>
    <row r="16" ht="35" spans="1:22">
      <c r="A16" s="298"/>
      <c r="B16" s="282" t="s">
        <v>75</v>
      </c>
      <c r="C16" s="301"/>
      <c r="D16" s="283">
        <v>130907</v>
      </c>
      <c r="E16" s="284">
        <f>119491+80740+76589+85510+86142</f>
        <v>448472</v>
      </c>
      <c r="F16" s="283">
        <v>194642</v>
      </c>
      <c r="G16" s="284">
        <v>193450</v>
      </c>
      <c r="H16" s="284">
        <f>105386+178795+162462</f>
        <v>446643</v>
      </c>
      <c r="I16" s="272"/>
      <c r="J16" s="272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</row>
    <row r="17" ht="34.4" spans="1:22">
      <c r="A17" s="298"/>
      <c r="B17" s="285" t="s">
        <v>76</v>
      </c>
      <c r="C17" s="302"/>
      <c r="D17" s="302"/>
      <c r="E17" s="272"/>
      <c r="F17" s="272"/>
      <c r="G17" s="272"/>
      <c r="H17" s="272"/>
      <c r="I17" s="272"/>
      <c r="J17" s="272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</row>
    <row r="18" ht="19" customHeight="1" spans="1:22">
      <c r="A18" s="298"/>
      <c r="B18" s="282" t="s">
        <v>89</v>
      </c>
      <c r="C18" s="272"/>
      <c r="D18" s="272" t="s">
        <v>98</v>
      </c>
      <c r="E18" s="272"/>
      <c r="F18" s="295"/>
      <c r="G18" s="272"/>
      <c r="H18" s="302"/>
      <c r="I18" s="272"/>
      <c r="J18" s="272"/>
      <c r="K18" s="275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</row>
    <row r="19" ht="372" customHeight="1" spans="1:22">
      <c r="A19" s="298"/>
      <c r="B19" s="303" t="s">
        <v>82</v>
      </c>
      <c r="C19" s="272"/>
      <c r="E19" s="272" t="s">
        <v>99</v>
      </c>
      <c r="F19" s="295" t="s">
        <v>100</v>
      </c>
      <c r="G19" s="302" t="s">
        <v>101</v>
      </c>
      <c r="H19" s="302" t="s">
        <v>102</v>
      </c>
      <c r="I19" s="272"/>
      <c r="J19" s="272"/>
      <c r="K19" s="275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</row>
    <row r="20" ht="130" customHeight="1" spans="1:22">
      <c r="A20" s="298" t="s">
        <v>103</v>
      </c>
      <c r="B20" s="289" t="s">
        <v>85</v>
      </c>
      <c r="C20" s="272"/>
      <c r="D20" s="272"/>
      <c r="E20" s="272"/>
      <c r="F20" s="278" t="s">
        <v>104</v>
      </c>
      <c r="G20" s="278" t="s">
        <v>105</v>
      </c>
      <c r="H20" s="278" t="s">
        <v>106</v>
      </c>
      <c r="J20" s="272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</row>
    <row r="21" ht="35" spans="1:22">
      <c r="A21" s="298"/>
      <c r="B21" s="279" t="s">
        <v>72</v>
      </c>
      <c r="C21" s="272"/>
      <c r="D21" s="272"/>
      <c r="E21" s="272"/>
      <c r="F21" s="284" t="s">
        <v>88</v>
      </c>
      <c r="G21" s="284" t="s">
        <v>73</v>
      </c>
      <c r="H21" s="284" t="s">
        <v>74</v>
      </c>
      <c r="I21" s="284"/>
      <c r="J21" s="272"/>
      <c r="K21" s="275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</row>
    <row r="22" ht="35" spans="1:22">
      <c r="A22" s="298"/>
      <c r="B22" s="282" t="s">
        <v>75</v>
      </c>
      <c r="C22" s="272"/>
      <c r="D22" s="272"/>
      <c r="E22" s="272"/>
      <c r="F22" s="284">
        <f>214498+32518</f>
        <v>247016</v>
      </c>
      <c r="G22" s="284">
        <f>450394+62513+91065</f>
        <v>603972</v>
      </c>
      <c r="H22" s="284">
        <f>147307+237946</f>
        <v>385253</v>
      </c>
      <c r="I22" s="284"/>
      <c r="J22" s="272"/>
      <c r="K22" s="275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</row>
    <row r="23" ht="172" spans="1:22">
      <c r="A23" s="298"/>
      <c r="B23" s="285" t="s">
        <v>76</v>
      </c>
      <c r="C23" s="272"/>
      <c r="D23" s="272"/>
      <c r="E23" s="272"/>
      <c r="F23" s="302" t="s">
        <v>107</v>
      </c>
      <c r="G23" s="272" t="s">
        <v>108</v>
      </c>
      <c r="H23" s="272" t="s">
        <v>109</v>
      </c>
      <c r="I23" s="272"/>
      <c r="J23" s="272"/>
      <c r="K23" s="275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</row>
    <row r="24" ht="35" spans="1:22">
      <c r="A24" s="298"/>
      <c r="B24" s="282" t="s">
        <v>89</v>
      </c>
      <c r="C24" s="272"/>
      <c r="D24" s="272"/>
      <c r="E24" s="272"/>
      <c r="F24" s="272"/>
      <c r="G24" s="272"/>
      <c r="H24" s="272"/>
      <c r="I24" s="302"/>
      <c r="J24" s="272"/>
      <c r="K24" s="275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</row>
    <row r="25" ht="35" spans="1:22">
      <c r="A25" s="298"/>
      <c r="B25" s="303" t="s">
        <v>82</v>
      </c>
      <c r="C25" s="272"/>
      <c r="D25" s="272"/>
      <c r="E25" s="272"/>
      <c r="F25" s="272"/>
      <c r="G25" s="272"/>
      <c r="H25" s="272"/>
      <c r="I25" s="272"/>
      <c r="J25" s="272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</row>
    <row r="26" ht="34.4" spans="1:22">
      <c r="A26" s="272"/>
      <c r="B26" s="272"/>
      <c r="C26" s="272"/>
      <c r="D26" s="272"/>
      <c r="E26" s="272"/>
      <c r="F26" s="272"/>
      <c r="G26" s="272"/>
      <c r="H26" s="272"/>
      <c r="I26" s="272"/>
      <c r="J26" s="272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</row>
    <row r="27" ht="34.4" spans="1:22">
      <c r="A27" s="272"/>
      <c r="B27" s="272"/>
      <c r="C27" s="272"/>
      <c r="D27" s="272"/>
      <c r="E27" s="272"/>
      <c r="F27" s="272"/>
      <c r="G27" s="272"/>
      <c r="H27" s="272"/>
      <c r="I27" s="272"/>
      <c r="J27" s="272"/>
      <c r="K27" s="275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</row>
    <row r="28" ht="34.4" spans="1:22">
      <c r="A28" s="272"/>
      <c r="B28" s="272"/>
      <c r="C28" s="272"/>
      <c r="D28" s="272"/>
      <c r="E28" s="272"/>
      <c r="F28" s="272"/>
      <c r="G28" s="272"/>
      <c r="H28" s="272"/>
      <c r="I28" s="272"/>
      <c r="J28" s="272"/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</row>
    <row r="29" ht="34.4" spans="1:22">
      <c r="A29" s="272"/>
      <c r="B29" s="272"/>
      <c r="C29" s="272"/>
      <c r="D29" s="272"/>
      <c r="E29" s="272"/>
      <c r="F29" s="272"/>
      <c r="G29" s="272"/>
      <c r="H29" s="272"/>
      <c r="I29" s="272"/>
      <c r="J29" s="272"/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</row>
    <row r="30" ht="34.4" spans="1:22">
      <c r="A30" s="272"/>
      <c r="B30" s="272"/>
      <c r="C30" s="272"/>
      <c r="D30" s="272"/>
      <c r="E30" s="272"/>
      <c r="F30" s="272"/>
      <c r="G30" s="272"/>
      <c r="H30" s="272"/>
      <c r="I30" s="272"/>
      <c r="J30" s="272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</row>
    <row r="31" ht="34.4" spans="1:22">
      <c r="A31" s="272"/>
      <c r="B31" s="272"/>
      <c r="C31" s="272"/>
      <c r="D31" s="272"/>
      <c r="E31" s="272"/>
      <c r="F31" s="272"/>
      <c r="G31" s="272"/>
      <c r="H31" s="272"/>
      <c r="I31" s="272"/>
      <c r="J31" s="272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</row>
    <row r="32" ht="34.4" spans="1:22">
      <c r="A32" s="272"/>
      <c r="B32" s="272"/>
      <c r="C32" s="272"/>
      <c r="D32" s="272"/>
      <c r="E32" s="272"/>
      <c r="F32" s="272"/>
      <c r="G32" s="272"/>
      <c r="H32" s="272"/>
      <c r="I32" s="272"/>
      <c r="J32" s="272"/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</row>
    <row r="33" ht="34.4" spans="1:22">
      <c r="A33" s="272"/>
      <c r="B33" s="272"/>
      <c r="C33" s="272"/>
      <c r="D33" s="272"/>
      <c r="E33" s="272"/>
      <c r="F33" s="272"/>
      <c r="G33" s="272"/>
      <c r="H33" s="272"/>
      <c r="I33" s="272"/>
      <c r="J33" s="272"/>
      <c r="K33" s="284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</row>
    <row r="34" ht="34.4" spans="1:22">
      <c r="A34" s="272"/>
      <c r="B34" s="272"/>
      <c r="C34" s="272"/>
      <c r="D34" s="272"/>
      <c r="E34" s="272"/>
      <c r="F34" s="272"/>
      <c r="G34" s="272"/>
      <c r="H34" s="272"/>
      <c r="I34" s="272"/>
      <c r="J34" s="272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</row>
    <row r="35" ht="34.4" spans="1:22">
      <c r="A35" s="272"/>
      <c r="B35" s="272"/>
      <c r="C35" s="272"/>
      <c r="D35" s="272"/>
      <c r="E35" s="272"/>
      <c r="F35" s="272"/>
      <c r="G35" s="272"/>
      <c r="H35" s="272"/>
      <c r="I35" s="272"/>
      <c r="J35" s="272"/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</row>
    <row r="36" ht="34.4" spans="1:22">
      <c r="A36" s="272"/>
      <c r="B36" s="272"/>
      <c r="C36" s="272"/>
      <c r="D36" s="272"/>
      <c r="E36" s="272"/>
      <c r="F36" s="272"/>
      <c r="G36" s="272"/>
      <c r="H36" s="272"/>
      <c r="I36" s="272"/>
      <c r="J36" s="272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</row>
    <row r="37" ht="34.4" spans="1:22">
      <c r="A37" s="272"/>
      <c r="B37" s="272"/>
      <c r="C37" s="272"/>
      <c r="D37" s="272"/>
      <c r="E37" s="272"/>
      <c r="F37" s="272"/>
      <c r="G37" s="272"/>
      <c r="H37" s="272"/>
      <c r="I37" s="272"/>
      <c r="J37" s="272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</row>
    <row r="38" ht="34.4" spans="1:22">
      <c r="A38" s="272"/>
      <c r="B38" s="272"/>
      <c r="C38" s="272"/>
      <c r="D38" s="272"/>
      <c r="E38" s="272"/>
      <c r="F38" s="272"/>
      <c r="G38" s="272"/>
      <c r="H38" s="272"/>
      <c r="I38" s="272"/>
      <c r="J38" s="272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</row>
    <row r="39" ht="34.4" spans="1:22">
      <c r="A39" s="272"/>
      <c r="B39" s="272"/>
      <c r="C39" s="272"/>
      <c r="D39" s="272"/>
      <c r="E39" s="272"/>
      <c r="F39" s="272"/>
      <c r="G39" s="272"/>
      <c r="H39" s="272"/>
      <c r="I39" s="272"/>
      <c r="J39" s="272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</row>
    <row r="40" ht="34.4" spans="1:22">
      <c r="A40" s="272"/>
      <c r="B40" s="272"/>
      <c r="C40" s="272"/>
      <c r="D40" s="272"/>
      <c r="E40" s="272"/>
      <c r="F40" s="272"/>
      <c r="G40" s="272"/>
      <c r="H40" s="272"/>
      <c r="I40" s="272"/>
      <c r="J40" s="272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</row>
    <row r="41" ht="34.4" spans="1:22">
      <c r="A41" s="272"/>
      <c r="B41" s="272"/>
      <c r="C41" s="272"/>
      <c r="D41" s="272"/>
      <c r="E41" s="272"/>
      <c r="F41" s="272"/>
      <c r="G41" s="272"/>
      <c r="H41" s="272"/>
      <c r="I41" s="272"/>
      <c r="J41" s="272"/>
      <c r="K41" s="284"/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</row>
    <row r="42" ht="34.4" spans="1:22">
      <c r="A42" s="272"/>
      <c r="B42" s="272"/>
      <c r="C42" s="272"/>
      <c r="D42" s="272"/>
      <c r="E42" s="272"/>
      <c r="F42" s="272"/>
      <c r="G42" s="272"/>
      <c r="H42" s="272"/>
      <c r="I42" s="272"/>
      <c r="J42" s="272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</row>
    <row r="43" ht="34.4" spans="1:22">
      <c r="A43" s="272"/>
      <c r="B43" s="272"/>
      <c r="C43" s="272"/>
      <c r="D43" s="272"/>
      <c r="E43" s="272"/>
      <c r="F43" s="272"/>
      <c r="G43" s="272"/>
      <c r="H43" s="272"/>
      <c r="I43" s="272"/>
      <c r="J43" s="272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</row>
    <row r="44" ht="34.4" spans="1:22">
      <c r="A44" s="272"/>
      <c r="B44" s="272"/>
      <c r="C44" s="272"/>
      <c r="D44" s="272"/>
      <c r="E44" s="272"/>
      <c r="F44" s="272"/>
      <c r="G44" s="272"/>
      <c r="H44" s="272"/>
      <c r="I44" s="272"/>
      <c r="J44" s="272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</row>
    <row r="45" ht="34.4" spans="1:22">
      <c r="A45" s="272"/>
      <c r="B45" s="272"/>
      <c r="C45" s="272"/>
      <c r="D45" s="272"/>
      <c r="E45" s="272"/>
      <c r="F45" s="272"/>
      <c r="G45" s="272"/>
      <c r="H45" s="272"/>
      <c r="I45" s="272"/>
      <c r="J45" s="272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</row>
    <row r="46" ht="34.4" spans="1:22">
      <c r="A46" s="272"/>
      <c r="B46" s="272"/>
      <c r="C46" s="272"/>
      <c r="D46" s="272"/>
      <c r="E46" s="272"/>
      <c r="F46" s="272"/>
      <c r="G46" s="272"/>
      <c r="H46" s="272"/>
      <c r="I46" s="272"/>
      <c r="J46" s="272"/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</row>
    <row r="47" ht="34.4" spans="1:22">
      <c r="A47" s="272"/>
      <c r="B47" s="272"/>
      <c r="C47" s="272"/>
      <c r="D47" s="272"/>
      <c r="E47" s="272"/>
      <c r="F47" s="272"/>
      <c r="G47" s="272"/>
      <c r="H47" s="272"/>
      <c r="I47" s="272"/>
      <c r="J47" s="272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</row>
    <row r="48" ht="34.4" spans="1:22">
      <c r="A48" s="272"/>
      <c r="B48" s="272"/>
      <c r="C48" s="272"/>
      <c r="D48" s="272"/>
      <c r="E48" s="272"/>
      <c r="F48" s="272"/>
      <c r="G48" s="272"/>
      <c r="H48" s="272"/>
      <c r="I48" s="272"/>
      <c r="J48" s="272"/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</row>
    <row r="49" ht="34.4" spans="1:22">
      <c r="A49" s="272"/>
      <c r="B49" s="272"/>
      <c r="C49" s="272"/>
      <c r="D49" s="272"/>
      <c r="E49" s="272"/>
      <c r="F49" s="272"/>
      <c r="G49" s="272"/>
      <c r="H49" s="272"/>
      <c r="I49" s="272"/>
      <c r="J49" s="272"/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</row>
    <row r="50" ht="34.4" spans="1:22">
      <c r="A50" s="272"/>
      <c r="B50" s="272"/>
      <c r="C50" s="272"/>
      <c r="D50" s="272"/>
      <c r="E50" s="272"/>
      <c r="F50" s="272"/>
      <c r="G50" s="272"/>
      <c r="H50" s="272"/>
      <c r="I50" s="272"/>
      <c r="J50" s="272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</row>
    <row r="51" ht="34.4" spans="1:22">
      <c r="A51" s="272"/>
      <c r="B51" s="272"/>
      <c r="C51" s="272"/>
      <c r="D51" s="272"/>
      <c r="E51" s="272"/>
      <c r="F51" s="272"/>
      <c r="G51" s="272"/>
      <c r="H51" s="272"/>
      <c r="I51" s="272"/>
      <c r="J51" s="272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</row>
    <row r="52" ht="34.4" spans="1:22">
      <c r="A52" s="272"/>
      <c r="B52" s="272"/>
      <c r="C52" s="272"/>
      <c r="D52" s="272"/>
      <c r="E52" s="272"/>
      <c r="F52" s="272"/>
      <c r="G52" s="272"/>
      <c r="H52" s="272"/>
      <c r="I52" s="272"/>
      <c r="J52" s="272"/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</row>
    <row r="53" ht="34.4" spans="1:22">
      <c r="A53" s="272"/>
      <c r="B53" s="272"/>
      <c r="C53" s="272"/>
      <c r="D53" s="272"/>
      <c r="E53" s="272"/>
      <c r="F53" s="272"/>
      <c r="G53" s="272"/>
      <c r="H53" s="272"/>
      <c r="I53" s="272"/>
      <c r="J53" s="272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</row>
    <row r="54" ht="34.4" spans="1:22">
      <c r="A54" s="272"/>
      <c r="B54" s="272"/>
      <c r="C54" s="272"/>
      <c r="D54" s="272"/>
      <c r="E54" s="272"/>
      <c r="F54" s="272"/>
      <c r="G54" s="272"/>
      <c r="H54" s="272"/>
      <c r="I54" s="272"/>
      <c r="J54" s="272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</row>
    <row r="55" ht="34.4" spans="1:22">
      <c r="A55" s="272"/>
      <c r="B55" s="272"/>
      <c r="C55" s="272"/>
      <c r="D55" s="272"/>
      <c r="E55" s="272"/>
      <c r="F55" s="272"/>
      <c r="G55" s="272"/>
      <c r="H55" s="272"/>
      <c r="I55" s="272"/>
      <c r="J55" s="272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</row>
    <row r="56" ht="34.4" spans="1:22">
      <c r="A56" s="272"/>
      <c r="B56" s="272"/>
      <c r="C56" s="272"/>
      <c r="D56" s="272"/>
      <c r="E56" s="272"/>
      <c r="F56" s="272"/>
      <c r="G56" s="272"/>
      <c r="H56" s="272"/>
      <c r="I56" s="272"/>
      <c r="J56" s="272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</row>
    <row r="57" ht="34.4" spans="1:22">
      <c r="A57" s="272"/>
      <c r="B57" s="272"/>
      <c r="C57" s="272"/>
      <c r="D57" s="272"/>
      <c r="E57" s="272"/>
      <c r="F57" s="272"/>
      <c r="G57" s="272"/>
      <c r="H57" s="272"/>
      <c r="I57" s="272"/>
      <c r="J57" s="272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</row>
    <row r="58" ht="34.4" spans="1:22">
      <c r="A58" s="272"/>
      <c r="B58" s="272"/>
      <c r="C58" s="272"/>
      <c r="D58" s="272"/>
      <c r="E58" s="272"/>
      <c r="F58" s="272"/>
      <c r="G58" s="272"/>
      <c r="H58" s="272"/>
      <c r="I58" s="272"/>
      <c r="J58" s="272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</row>
    <row r="59" ht="34.4" spans="1:22">
      <c r="A59" s="272"/>
      <c r="B59" s="272"/>
      <c r="C59" s="272"/>
      <c r="D59" s="272"/>
      <c r="E59" s="272"/>
      <c r="F59" s="272"/>
      <c r="G59" s="272"/>
      <c r="H59" s="272"/>
      <c r="I59" s="272"/>
      <c r="J59" s="272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</row>
    <row r="60" ht="34.4" spans="1:22">
      <c r="A60" s="272"/>
      <c r="B60" s="272"/>
      <c r="C60" s="272"/>
      <c r="D60" s="272"/>
      <c r="E60" s="272"/>
      <c r="F60" s="272"/>
      <c r="G60" s="272"/>
      <c r="H60" s="272"/>
      <c r="I60" s="272"/>
      <c r="J60" s="272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</row>
    <row r="61" ht="34.4" spans="1:22">
      <c r="A61" s="272"/>
      <c r="B61" s="272"/>
      <c r="C61" s="272"/>
      <c r="D61" s="272"/>
      <c r="E61" s="272"/>
      <c r="F61" s="272"/>
      <c r="G61" s="272"/>
      <c r="H61" s="272"/>
      <c r="I61" s="272"/>
      <c r="J61" s="272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</row>
    <row r="62" ht="34.4" spans="1:22">
      <c r="A62" s="272"/>
      <c r="B62" s="272"/>
      <c r="C62" s="272"/>
      <c r="D62" s="272"/>
      <c r="E62" s="272"/>
      <c r="F62" s="272"/>
      <c r="G62" s="272"/>
      <c r="H62" s="272"/>
      <c r="I62" s="272"/>
      <c r="J62" s="272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</row>
    <row r="63" ht="34.4" spans="1:22">
      <c r="A63" s="272"/>
      <c r="B63" s="272"/>
      <c r="C63" s="272"/>
      <c r="D63" s="272"/>
      <c r="E63" s="272"/>
      <c r="F63" s="272"/>
      <c r="G63" s="272"/>
      <c r="H63" s="272"/>
      <c r="I63" s="272"/>
      <c r="J63" s="272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</row>
    <row r="64" ht="34.4" spans="1:22">
      <c r="A64" s="272"/>
      <c r="B64" s="272"/>
      <c r="C64" s="272"/>
      <c r="D64" s="272"/>
      <c r="E64" s="272"/>
      <c r="F64" s="272"/>
      <c r="G64" s="272"/>
      <c r="H64" s="272"/>
      <c r="I64" s="272"/>
      <c r="J64" s="272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</row>
    <row r="65" ht="34.4" spans="1:22">
      <c r="A65" s="272"/>
      <c r="B65" s="272"/>
      <c r="C65" s="272"/>
      <c r="D65" s="272"/>
      <c r="E65" s="272"/>
      <c r="F65" s="272"/>
      <c r="G65" s="272"/>
      <c r="H65" s="272"/>
      <c r="I65" s="272"/>
      <c r="J65" s="272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</row>
    <row r="66" ht="34.4" spans="1:22">
      <c r="A66" s="272"/>
      <c r="B66" s="272"/>
      <c r="C66" s="272"/>
      <c r="D66" s="272"/>
      <c r="E66" s="272"/>
      <c r="F66" s="272"/>
      <c r="G66" s="272"/>
      <c r="H66" s="272"/>
      <c r="I66" s="272"/>
      <c r="J66" s="272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</row>
    <row r="67" ht="34.4" spans="1:22">
      <c r="A67" s="272"/>
      <c r="B67" s="272"/>
      <c r="C67" s="272"/>
      <c r="D67" s="272"/>
      <c r="E67" s="272"/>
      <c r="F67" s="272"/>
      <c r="G67" s="272"/>
      <c r="H67" s="272"/>
      <c r="I67" s="272"/>
      <c r="J67" s="272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</row>
    <row r="68" ht="34.4" spans="1:22">
      <c r="A68" s="272"/>
      <c r="B68" s="272"/>
      <c r="C68" s="272"/>
      <c r="D68" s="272"/>
      <c r="E68" s="272"/>
      <c r="F68" s="272"/>
      <c r="G68" s="272"/>
      <c r="H68" s="272"/>
      <c r="I68" s="272"/>
      <c r="J68" s="272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</row>
    <row r="69" ht="34.4" spans="1:22">
      <c r="A69" s="272"/>
      <c r="B69" s="272"/>
      <c r="C69" s="272"/>
      <c r="D69" s="272"/>
      <c r="E69" s="272"/>
      <c r="F69" s="272"/>
      <c r="G69" s="272"/>
      <c r="H69" s="272"/>
      <c r="I69" s="272"/>
      <c r="J69" s="272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</row>
    <row r="70" ht="34.4" spans="1:22">
      <c r="A70" s="272"/>
      <c r="B70" s="272"/>
      <c r="C70" s="272"/>
      <c r="D70" s="272"/>
      <c r="E70" s="272"/>
      <c r="F70" s="272"/>
      <c r="G70" s="272"/>
      <c r="H70" s="272"/>
      <c r="I70" s="272"/>
      <c r="J70" s="272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</row>
    <row r="71" ht="34.4" spans="1:22">
      <c r="A71" s="272"/>
      <c r="B71" s="272"/>
      <c r="C71" s="272"/>
      <c r="D71" s="272"/>
      <c r="E71" s="272"/>
      <c r="F71" s="272"/>
      <c r="G71" s="272"/>
      <c r="H71" s="272"/>
      <c r="I71" s="272"/>
      <c r="J71" s="272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</row>
    <row r="72" ht="34.4" spans="1:22">
      <c r="A72" s="272"/>
      <c r="B72" s="272"/>
      <c r="C72" s="272"/>
      <c r="D72" s="272"/>
      <c r="E72" s="272"/>
      <c r="F72" s="272"/>
      <c r="G72" s="272"/>
      <c r="H72" s="272"/>
      <c r="I72" s="272"/>
      <c r="J72" s="272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</row>
    <row r="73" ht="34.4" spans="1:22">
      <c r="A73" s="272"/>
      <c r="B73" s="272"/>
      <c r="C73" s="272"/>
      <c r="D73" s="272"/>
      <c r="E73" s="272"/>
      <c r="F73" s="272"/>
      <c r="G73" s="272"/>
      <c r="H73" s="272"/>
      <c r="I73" s="272"/>
      <c r="J73" s="272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</row>
    <row r="74" ht="34.4" spans="1:22">
      <c r="A74" s="272"/>
      <c r="B74" s="272"/>
      <c r="C74" s="272"/>
      <c r="D74" s="272"/>
      <c r="E74" s="272"/>
      <c r="F74" s="272"/>
      <c r="G74" s="272"/>
      <c r="H74" s="272"/>
      <c r="I74" s="272"/>
      <c r="J74" s="272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</row>
    <row r="75" ht="34.4" spans="1:22">
      <c r="A75" s="272"/>
      <c r="B75" s="272"/>
      <c r="C75" s="272"/>
      <c r="D75" s="272"/>
      <c r="E75" s="272"/>
      <c r="F75" s="272"/>
      <c r="G75" s="272"/>
      <c r="H75" s="272"/>
      <c r="I75" s="272"/>
      <c r="J75" s="272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</row>
    <row r="76" ht="34.4" spans="1:22">
      <c r="A76" s="272"/>
      <c r="B76" s="272"/>
      <c r="C76" s="272"/>
      <c r="D76" s="272"/>
      <c r="E76" s="272"/>
      <c r="F76" s="272"/>
      <c r="G76" s="272"/>
      <c r="H76" s="272"/>
      <c r="I76" s="272"/>
      <c r="J76" s="272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</row>
    <row r="77" ht="34.4" spans="1:22">
      <c r="A77" s="272"/>
      <c r="B77" s="272"/>
      <c r="C77" s="272"/>
      <c r="D77" s="272"/>
      <c r="E77" s="272"/>
      <c r="F77" s="272"/>
      <c r="G77" s="272"/>
      <c r="H77" s="272"/>
      <c r="I77" s="272"/>
      <c r="J77" s="272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</row>
    <row r="78" ht="34.4" spans="1:22">
      <c r="A78" s="272"/>
      <c r="B78" s="272"/>
      <c r="C78" s="272"/>
      <c r="D78" s="272"/>
      <c r="E78" s="272"/>
      <c r="F78" s="272"/>
      <c r="G78" s="272"/>
      <c r="H78" s="272"/>
      <c r="I78" s="272"/>
      <c r="J78" s="272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</row>
    <row r="79" ht="34.4" spans="1:22">
      <c r="A79" s="272"/>
      <c r="B79" s="272"/>
      <c r="C79" s="272"/>
      <c r="D79" s="272"/>
      <c r="E79" s="272"/>
      <c r="F79" s="272"/>
      <c r="G79" s="272"/>
      <c r="H79" s="272"/>
      <c r="I79" s="272"/>
      <c r="J79" s="272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</row>
    <row r="80" ht="34.4" spans="1:22">
      <c r="A80" s="272"/>
      <c r="B80" s="272"/>
      <c r="C80" s="272"/>
      <c r="D80" s="272"/>
      <c r="E80" s="272"/>
      <c r="F80" s="272"/>
      <c r="G80" s="272"/>
      <c r="H80" s="272"/>
      <c r="I80" s="272"/>
      <c r="J80" s="272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</row>
    <row r="81" ht="34.4" spans="1:22">
      <c r="A81" s="272"/>
      <c r="B81" s="272"/>
      <c r="C81" s="272"/>
      <c r="D81" s="272"/>
      <c r="E81" s="272"/>
      <c r="F81" s="272"/>
      <c r="G81" s="272"/>
      <c r="H81" s="272"/>
      <c r="I81" s="272"/>
      <c r="J81" s="272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</row>
    <row r="82" ht="34.4" spans="1:22">
      <c r="A82" s="272"/>
      <c r="B82" s="272"/>
      <c r="C82" s="272"/>
      <c r="D82" s="272"/>
      <c r="E82" s="272"/>
      <c r="F82" s="272"/>
      <c r="G82" s="272"/>
      <c r="H82" s="272"/>
      <c r="I82" s="272"/>
      <c r="J82" s="272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</row>
    <row r="83" ht="34.4" spans="1:22">
      <c r="A83" s="272"/>
      <c r="B83" s="272"/>
      <c r="C83" s="272"/>
      <c r="D83" s="272"/>
      <c r="E83" s="272"/>
      <c r="F83" s="272"/>
      <c r="G83" s="272"/>
      <c r="H83" s="272"/>
      <c r="I83" s="272"/>
      <c r="J83" s="272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</row>
    <row r="84" ht="34.4" spans="1:22">
      <c r="A84" s="272"/>
      <c r="B84" s="272"/>
      <c r="C84" s="272"/>
      <c r="D84" s="272"/>
      <c r="E84" s="272"/>
      <c r="F84" s="272"/>
      <c r="G84" s="272"/>
      <c r="H84" s="272"/>
      <c r="I84" s="272"/>
      <c r="J84" s="272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</row>
    <row r="85" ht="34.4" spans="1:22">
      <c r="A85" s="272"/>
      <c r="B85" s="272"/>
      <c r="C85" s="272"/>
      <c r="D85" s="272"/>
      <c r="E85" s="272"/>
      <c r="F85" s="272"/>
      <c r="G85" s="272"/>
      <c r="H85" s="272"/>
      <c r="I85" s="272"/>
      <c r="J85" s="272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</row>
    <row r="86" ht="34.4" spans="1:22">
      <c r="A86" s="272"/>
      <c r="B86" s="272"/>
      <c r="C86" s="272"/>
      <c r="D86" s="272"/>
      <c r="E86" s="272"/>
      <c r="F86" s="272"/>
      <c r="G86" s="272"/>
      <c r="H86" s="272"/>
      <c r="I86" s="272"/>
      <c r="J86" s="272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</row>
    <row r="87" ht="34.4" spans="1:22">
      <c r="A87" s="272"/>
      <c r="B87" s="272"/>
      <c r="C87" s="272"/>
      <c r="D87" s="272"/>
      <c r="E87" s="272"/>
      <c r="F87" s="272"/>
      <c r="G87" s="272"/>
      <c r="H87" s="272"/>
      <c r="I87" s="272"/>
      <c r="J87" s="272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</row>
    <row r="88" ht="34.4" spans="1:22">
      <c r="A88" s="272"/>
      <c r="B88" s="272"/>
      <c r="C88" s="272"/>
      <c r="D88" s="272"/>
      <c r="E88" s="272"/>
      <c r="F88" s="272"/>
      <c r="G88" s="272"/>
      <c r="H88" s="272"/>
      <c r="I88" s="272"/>
      <c r="J88" s="272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</row>
    <row r="89" ht="34.4" spans="1:22">
      <c r="A89" s="272"/>
      <c r="B89" s="272"/>
      <c r="C89" s="272"/>
      <c r="D89" s="272"/>
      <c r="E89" s="272"/>
      <c r="F89" s="272"/>
      <c r="G89" s="272"/>
      <c r="H89" s="272"/>
      <c r="I89" s="272"/>
      <c r="J89" s="272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</row>
    <row r="90" ht="34.4" spans="1:22">
      <c r="A90" s="272"/>
      <c r="B90" s="272"/>
      <c r="C90" s="272"/>
      <c r="D90" s="272"/>
      <c r="E90" s="272"/>
      <c r="F90" s="272"/>
      <c r="G90" s="272"/>
      <c r="H90" s="272"/>
      <c r="I90" s="272"/>
      <c r="J90" s="272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</row>
    <row r="91" ht="34.4" spans="1:22">
      <c r="A91" s="272"/>
      <c r="B91" s="272"/>
      <c r="C91" s="272"/>
      <c r="D91" s="272"/>
      <c r="E91" s="272"/>
      <c r="F91" s="272"/>
      <c r="G91" s="272"/>
      <c r="H91" s="272"/>
      <c r="I91" s="272"/>
      <c r="J91" s="272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</row>
    <row r="92" ht="34.4" spans="1:22">
      <c r="A92" s="272"/>
      <c r="B92" s="272"/>
      <c r="C92" s="272"/>
      <c r="D92" s="272"/>
      <c r="E92" s="272"/>
      <c r="F92" s="272"/>
      <c r="G92" s="272"/>
      <c r="H92" s="272"/>
      <c r="I92" s="272"/>
      <c r="J92" s="272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</row>
    <row r="93" ht="34.4" spans="1:22">
      <c r="A93" s="272"/>
      <c r="B93" s="272"/>
      <c r="C93" s="272"/>
      <c r="D93" s="272"/>
      <c r="E93" s="272"/>
      <c r="F93" s="272"/>
      <c r="G93" s="272"/>
      <c r="H93" s="272"/>
      <c r="I93" s="272"/>
      <c r="J93" s="272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</row>
    <row r="94" ht="34.4" spans="1:22">
      <c r="A94" s="272"/>
      <c r="B94" s="272"/>
      <c r="C94" s="272"/>
      <c r="D94" s="272"/>
      <c r="E94" s="272"/>
      <c r="F94" s="272"/>
      <c r="G94" s="272"/>
      <c r="H94" s="272"/>
      <c r="I94" s="272"/>
      <c r="J94" s="272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</row>
    <row r="95" ht="34.4" spans="1:22">
      <c r="A95" s="272"/>
      <c r="B95" s="272"/>
      <c r="C95" s="272"/>
      <c r="D95" s="272"/>
      <c r="E95" s="272"/>
      <c r="F95" s="272"/>
      <c r="G95" s="272"/>
      <c r="H95" s="272"/>
      <c r="I95" s="272"/>
      <c r="J95" s="272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</row>
    <row r="96" ht="34.4" spans="1:22">
      <c r="A96" s="272"/>
      <c r="B96" s="272"/>
      <c r="C96" s="272"/>
      <c r="D96" s="272"/>
      <c r="E96" s="272"/>
      <c r="F96" s="272"/>
      <c r="G96" s="272"/>
      <c r="H96" s="272"/>
      <c r="I96" s="272"/>
      <c r="J96" s="272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</row>
    <row r="97" ht="34.4" spans="1:22">
      <c r="A97" s="272"/>
      <c r="B97" s="272"/>
      <c r="C97" s="272"/>
      <c r="D97" s="272"/>
      <c r="E97" s="272"/>
      <c r="F97" s="272"/>
      <c r="G97" s="272"/>
      <c r="H97" s="272"/>
      <c r="I97" s="272"/>
      <c r="J97" s="272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</row>
    <row r="98" ht="34.4" spans="1:22">
      <c r="A98" s="272"/>
      <c r="B98" s="272"/>
      <c r="C98" s="272"/>
      <c r="D98" s="272"/>
      <c r="E98" s="272"/>
      <c r="F98" s="272"/>
      <c r="G98" s="272"/>
      <c r="H98" s="272"/>
      <c r="I98" s="272"/>
      <c r="J98" s="272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</row>
    <row r="99" ht="34.4" spans="1:22">
      <c r="A99" s="272"/>
      <c r="B99" s="272"/>
      <c r="C99" s="272"/>
      <c r="D99" s="272"/>
      <c r="E99" s="272"/>
      <c r="F99" s="272"/>
      <c r="G99" s="272"/>
      <c r="H99" s="272"/>
      <c r="I99" s="272"/>
      <c r="J99" s="272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</row>
    <row r="100" ht="34.4" spans="1:22">
      <c r="A100" s="272"/>
      <c r="B100" s="272"/>
      <c r="C100" s="272"/>
      <c r="D100" s="272"/>
      <c r="E100" s="272"/>
      <c r="F100" s="272"/>
      <c r="G100" s="272"/>
      <c r="H100" s="272"/>
      <c r="I100" s="272"/>
      <c r="J100" s="272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</row>
    <row r="101" ht="34.4" spans="1:22">
      <c r="A101" s="272"/>
      <c r="B101" s="272"/>
      <c r="C101" s="272"/>
      <c r="D101" s="272"/>
      <c r="E101" s="272"/>
      <c r="F101" s="272"/>
      <c r="G101" s="272"/>
      <c r="H101" s="272"/>
      <c r="I101" s="272"/>
      <c r="J101" s="272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</row>
    <row r="102" ht="34.4" spans="1:22">
      <c r="A102" s="272"/>
      <c r="B102" s="272"/>
      <c r="C102" s="272"/>
      <c r="D102" s="272"/>
      <c r="E102" s="272"/>
      <c r="F102" s="272"/>
      <c r="G102" s="272"/>
      <c r="H102" s="272"/>
      <c r="I102" s="272"/>
      <c r="J102" s="272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</row>
    <row r="103" ht="34.4" spans="1:22">
      <c r="A103" s="272"/>
      <c r="B103" s="272"/>
      <c r="C103" s="272"/>
      <c r="D103" s="272"/>
      <c r="E103" s="272"/>
      <c r="F103" s="272"/>
      <c r="G103" s="272"/>
      <c r="H103" s="272"/>
      <c r="I103" s="272"/>
      <c r="J103" s="272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</row>
    <row r="104" ht="34.4" spans="1:22">
      <c r="A104" s="272"/>
      <c r="B104" s="272"/>
      <c r="C104" s="272"/>
      <c r="D104" s="272"/>
      <c r="E104" s="272"/>
      <c r="F104" s="272"/>
      <c r="G104" s="272"/>
      <c r="H104" s="272"/>
      <c r="I104" s="272"/>
      <c r="J104" s="272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</row>
    <row r="105" ht="34.4" spans="1:22">
      <c r="A105" s="272"/>
      <c r="B105" s="272"/>
      <c r="C105" s="272"/>
      <c r="D105" s="272"/>
      <c r="E105" s="272"/>
      <c r="F105" s="272"/>
      <c r="G105" s="272"/>
      <c r="H105" s="272"/>
      <c r="I105" s="272"/>
      <c r="J105" s="272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</row>
    <row r="106" ht="34.4" spans="1:22">
      <c r="A106" s="272"/>
      <c r="B106" s="272"/>
      <c r="C106" s="272"/>
      <c r="D106" s="272"/>
      <c r="E106" s="272"/>
      <c r="F106" s="272"/>
      <c r="G106" s="272"/>
      <c r="H106" s="272"/>
      <c r="I106" s="272"/>
      <c r="J106" s="272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</row>
    <row r="107" ht="34.4" spans="1:22">
      <c r="A107" s="272"/>
      <c r="B107" s="272"/>
      <c r="C107" s="272"/>
      <c r="D107" s="272"/>
      <c r="E107" s="272"/>
      <c r="F107" s="272"/>
      <c r="G107" s="272"/>
      <c r="H107" s="272"/>
      <c r="I107" s="272"/>
      <c r="J107" s="272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</row>
    <row r="108" ht="34.4" spans="1:22">
      <c r="A108" s="272"/>
      <c r="B108" s="272"/>
      <c r="C108" s="272"/>
      <c r="D108" s="272"/>
      <c r="E108" s="272"/>
      <c r="F108" s="272"/>
      <c r="G108" s="272"/>
      <c r="H108" s="272"/>
      <c r="I108" s="272"/>
      <c r="J108" s="272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</row>
    <row r="109" ht="34.4" spans="1:22">
      <c r="A109" s="272"/>
      <c r="B109" s="272"/>
      <c r="C109" s="272"/>
      <c r="D109" s="272"/>
      <c r="E109" s="272"/>
      <c r="F109" s="272"/>
      <c r="G109" s="272"/>
      <c r="H109" s="272"/>
      <c r="I109" s="272"/>
      <c r="J109" s="272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</row>
    <row r="110" ht="34.4" spans="1:22">
      <c r="A110" s="272"/>
      <c r="B110" s="272"/>
      <c r="C110" s="272"/>
      <c r="D110" s="272"/>
      <c r="E110" s="272"/>
      <c r="F110" s="272"/>
      <c r="G110" s="272"/>
      <c r="H110" s="272"/>
      <c r="I110" s="272"/>
      <c r="J110" s="272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</row>
    <row r="111" ht="34.4" spans="1:22">
      <c r="A111" s="272"/>
      <c r="B111" s="272"/>
      <c r="C111" s="272"/>
      <c r="D111" s="272"/>
      <c r="E111" s="272"/>
      <c r="F111" s="272"/>
      <c r="G111" s="272"/>
      <c r="H111" s="272"/>
      <c r="I111" s="272"/>
      <c r="J111" s="272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</row>
    <row r="112" ht="34.4" spans="1:22">
      <c r="A112" s="272"/>
      <c r="B112" s="272"/>
      <c r="C112" s="272"/>
      <c r="D112" s="272"/>
      <c r="E112" s="272"/>
      <c r="F112" s="272"/>
      <c r="G112" s="272"/>
      <c r="H112" s="272"/>
      <c r="I112" s="272"/>
      <c r="J112" s="272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</row>
    <row r="113" ht="34.4" spans="1:22">
      <c r="A113" s="272"/>
      <c r="B113" s="272"/>
      <c r="C113" s="272"/>
      <c r="D113" s="272"/>
      <c r="E113" s="272"/>
      <c r="F113" s="272"/>
      <c r="G113" s="272"/>
      <c r="H113" s="272"/>
      <c r="I113" s="272"/>
      <c r="J113" s="272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</row>
    <row r="114" ht="34.4" spans="1:22">
      <c r="A114" s="272"/>
      <c r="B114" s="272"/>
      <c r="C114" s="272"/>
      <c r="D114" s="272"/>
      <c r="E114" s="272"/>
      <c r="F114" s="272"/>
      <c r="G114" s="272"/>
      <c r="H114" s="272"/>
      <c r="I114" s="272"/>
      <c r="J114" s="272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</row>
    <row r="115" ht="34.4" spans="1:22">
      <c r="A115" s="272"/>
      <c r="B115" s="272"/>
      <c r="C115" s="272"/>
      <c r="D115" s="272"/>
      <c r="E115" s="272"/>
      <c r="F115" s="272"/>
      <c r="G115" s="272"/>
      <c r="H115" s="272"/>
      <c r="I115" s="272"/>
      <c r="J115" s="272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</row>
    <row r="116" ht="34.4" spans="1:22">
      <c r="A116" s="272"/>
      <c r="B116" s="272"/>
      <c r="C116" s="272"/>
      <c r="D116" s="272"/>
      <c r="E116" s="272"/>
      <c r="F116" s="272"/>
      <c r="G116" s="272"/>
      <c r="H116" s="272"/>
      <c r="I116" s="272"/>
      <c r="J116" s="272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</row>
    <row r="117" ht="34.4" spans="1:22">
      <c r="A117" s="272"/>
      <c r="B117" s="272"/>
      <c r="C117" s="272"/>
      <c r="D117" s="272"/>
      <c r="E117" s="272"/>
      <c r="F117" s="272"/>
      <c r="G117" s="272"/>
      <c r="H117" s="272"/>
      <c r="I117" s="272"/>
      <c r="J117" s="272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</row>
    <row r="118" ht="34.4" spans="1:22">
      <c r="A118" s="272"/>
      <c r="B118" s="272"/>
      <c r="C118" s="272"/>
      <c r="D118" s="272"/>
      <c r="E118" s="272"/>
      <c r="F118" s="272"/>
      <c r="G118" s="272"/>
      <c r="H118" s="272"/>
      <c r="I118" s="272"/>
      <c r="J118" s="272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</row>
    <row r="119" ht="34.4" spans="1:22">
      <c r="A119" s="272"/>
      <c r="B119" s="272"/>
      <c r="C119" s="272"/>
      <c r="D119" s="272"/>
      <c r="E119" s="272"/>
      <c r="F119" s="272"/>
      <c r="G119" s="272"/>
      <c r="H119" s="272"/>
      <c r="I119" s="272"/>
      <c r="J119" s="272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</row>
    <row r="120" ht="34.4" spans="1:22">
      <c r="A120" s="272"/>
      <c r="B120" s="272"/>
      <c r="C120" s="272"/>
      <c r="D120" s="272"/>
      <c r="E120" s="272"/>
      <c r="F120" s="272"/>
      <c r="G120" s="272"/>
      <c r="H120" s="272"/>
      <c r="I120" s="272"/>
      <c r="J120" s="272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</row>
    <row r="121" ht="34.4" spans="1:22">
      <c r="A121" s="272"/>
      <c r="B121" s="272"/>
      <c r="C121" s="272"/>
      <c r="D121" s="272"/>
      <c r="E121" s="272"/>
      <c r="F121" s="272"/>
      <c r="G121" s="272"/>
      <c r="H121" s="272"/>
      <c r="I121" s="272"/>
      <c r="J121" s="272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</row>
    <row r="122" ht="34.4" spans="1:22">
      <c r="A122" s="272"/>
      <c r="B122" s="272"/>
      <c r="C122" s="272"/>
      <c r="D122" s="272"/>
      <c r="E122" s="272"/>
      <c r="F122" s="272"/>
      <c r="G122" s="272"/>
      <c r="H122" s="272"/>
      <c r="I122" s="272"/>
      <c r="J122" s="272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</row>
    <row r="123" ht="34.4" spans="1:22">
      <c r="A123" s="272"/>
      <c r="B123" s="272"/>
      <c r="C123" s="272"/>
      <c r="D123" s="272"/>
      <c r="E123" s="272"/>
      <c r="F123" s="272"/>
      <c r="G123" s="272"/>
      <c r="H123" s="272"/>
      <c r="I123" s="272"/>
      <c r="J123" s="272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</row>
    <row r="124" ht="34.4" spans="1:22">
      <c r="A124" s="272"/>
      <c r="B124" s="272"/>
      <c r="C124" s="272"/>
      <c r="D124" s="272"/>
      <c r="E124" s="272"/>
      <c r="F124" s="272"/>
      <c r="G124" s="272"/>
      <c r="H124" s="272"/>
      <c r="I124" s="272"/>
      <c r="J124" s="272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</row>
    <row r="125" ht="34.4" spans="1:22">
      <c r="A125" s="272"/>
      <c r="B125" s="272"/>
      <c r="C125" s="272"/>
      <c r="D125" s="272"/>
      <c r="E125" s="272"/>
      <c r="F125" s="272"/>
      <c r="G125" s="272"/>
      <c r="H125" s="272"/>
      <c r="I125" s="272"/>
      <c r="J125" s="272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</row>
    <row r="126" ht="34.4" spans="1:22">
      <c r="A126" s="272"/>
      <c r="B126" s="272"/>
      <c r="C126" s="272"/>
      <c r="D126" s="272"/>
      <c r="E126" s="272"/>
      <c r="F126" s="272"/>
      <c r="G126" s="272"/>
      <c r="H126" s="272"/>
      <c r="I126" s="272"/>
      <c r="J126" s="272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</row>
  </sheetData>
  <mergeCells count="5">
    <mergeCell ref="A3:A7"/>
    <mergeCell ref="A8:A13"/>
    <mergeCell ref="A14:A19"/>
    <mergeCell ref="A20:A25"/>
    <mergeCell ref="B1:B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14BA9"/>
    <outlinePr summaryBelow="0" summaryRight="0"/>
  </sheetPr>
  <dimension ref="A1:V190"/>
  <sheetViews>
    <sheetView tabSelected="1" workbookViewId="0">
      <selection activeCell="A1" sqref="A1"/>
    </sheetView>
  </sheetViews>
  <sheetFormatPr defaultColWidth="14" defaultRowHeight="15.2"/>
  <cols>
    <col min="1" max="1" width="18" customWidth="1"/>
    <col min="2" max="2" width="37" customWidth="1"/>
    <col min="3" max="4" width="90" customWidth="1"/>
    <col min="5" max="5" width="51" customWidth="1"/>
    <col min="6" max="6" width="58" customWidth="1"/>
    <col min="7" max="8" width="63" customWidth="1"/>
    <col min="9" max="9" width="53" customWidth="1"/>
    <col min="13" max="13" width="35" customWidth="1"/>
    <col min="14" max="19" width="25" customWidth="1"/>
    <col min="20" max="20" width="27" customWidth="1"/>
    <col min="21" max="21" width="51" customWidth="1"/>
    <col min="22" max="22" width="25" customWidth="1"/>
  </cols>
  <sheetData>
    <row r="1" ht="26" spans="1:22">
      <c r="A1" s="5" t="s">
        <v>56</v>
      </c>
      <c r="B1" s="6" t="s">
        <v>57</v>
      </c>
      <c r="C1" s="7" t="s">
        <v>58</v>
      </c>
      <c r="D1" s="7" t="s">
        <v>59</v>
      </c>
      <c r="E1" s="7" t="s">
        <v>60</v>
      </c>
      <c r="F1" s="7" t="s">
        <v>61</v>
      </c>
      <c r="G1" s="7" t="s">
        <v>62</v>
      </c>
      <c r="H1" s="7" t="s">
        <v>63</v>
      </c>
      <c r="I1" s="7" t="s">
        <v>64</v>
      </c>
      <c r="J1" s="3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</row>
    <row r="2" ht="26" spans="1:22">
      <c r="A2" s="8" t="s">
        <v>65</v>
      </c>
      <c r="B2" s="6"/>
      <c r="C2" s="7">
        <v>11</v>
      </c>
      <c r="D2" s="7">
        <v>12</v>
      </c>
      <c r="E2" s="7">
        <v>13</v>
      </c>
      <c r="F2" s="7">
        <v>14</v>
      </c>
      <c r="G2" s="7">
        <v>15</v>
      </c>
      <c r="H2" s="7">
        <v>16</v>
      </c>
      <c r="I2" s="7">
        <v>17</v>
      </c>
      <c r="J2" s="3"/>
      <c r="K2" s="233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</row>
    <row r="3" ht="113" spans="1:22">
      <c r="A3" s="5" t="s">
        <v>66</v>
      </c>
      <c r="B3" s="6"/>
      <c r="C3" s="124"/>
      <c r="D3" s="234" t="s">
        <v>110</v>
      </c>
      <c r="E3" s="235" t="s">
        <v>69</v>
      </c>
      <c r="F3" s="234" t="s">
        <v>111</v>
      </c>
      <c r="G3" s="235" t="s">
        <v>67</v>
      </c>
      <c r="H3" s="46" t="s">
        <v>112</v>
      </c>
      <c r="I3" s="16"/>
      <c r="J3" s="3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</row>
    <row r="4" ht="37" customHeight="1" spans="1:22">
      <c r="A4" s="5"/>
      <c r="B4" s="48" t="s">
        <v>72</v>
      </c>
      <c r="C4" s="236"/>
      <c r="D4" s="119" t="s">
        <v>74</v>
      </c>
      <c r="E4" s="119" t="s">
        <v>73</v>
      </c>
      <c r="F4" s="119" t="s">
        <v>74</v>
      </c>
      <c r="G4" s="119" t="s">
        <v>73</v>
      </c>
      <c r="H4" s="237" t="s">
        <v>74</v>
      </c>
      <c r="I4" s="16"/>
      <c r="J4" s="3"/>
      <c r="K4" s="233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</row>
    <row r="5" ht="100" customHeight="1" spans="1:22">
      <c r="A5" s="5"/>
      <c r="B5" s="56" t="s">
        <v>75</v>
      </c>
      <c r="C5" s="236"/>
      <c r="D5" s="238">
        <f>87654+58268+46124+15155+94759</f>
        <v>301960</v>
      </c>
      <c r="E5" s="238">
        <f>195301+129618</f>
        <v>324919</v>
      </c>
      <c r="F5" s="238">
        <f>118039+88326+115564+76089</f>
        <v>398018</v>
      </c>
      <c r="G5" s="238">
        <f>51819+81195+277833+118222</f>
        <v>529069</v>
      </c>
      <c r="H5" s="239">
        <f>123341+52866+153072</f>
        <v>329279</v>
      </c>
      <c r="I5" s="16"/>
      <c r="J5" s="3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</row>
    <row r="6" ht="210" customHeight="1" spans="1:22">
      <c r="A6" s="5"/>
      <c r="B6" s="52" t="s">
        <v>76</v>
      </c>
      <c r="C6" s="240"/>
      <c r="D6" s="16" t="s">
        <v>113</v>
      </c>
      <c r="E6" s="16" t="s">
        <v>114</v>
      </c>
      <c r="F6" s="16"/>
      <c r="G6" s="16" t="s">
        <v>115</v>
      </c>
      <c r="H6" s="241" t="s">
        <v>116</v>
      </c>
      <c r="I6" s="16"/>
      <c r="J6" s="3"/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</row>
    <row r="7" ht="220" customHeight="1" spans="1:22">
      <c r="A7" s="5"/>
      <c r="B7" s="55" t="s">
        <v>82</v>
      </c>
      <c r="C7" s="238"/>
      <c r="D7" s="242" t="s">
        <v>117</v>
      </c>
      <c r="E7" s="243"/>
      <c r="F7" s="241" t="s">
        <v>118</v>
      </c>
      <c r="G7" s="243"/>
      <c r="H7" s="241" t="s">
        <v>119</v>
      </c>
      <c r="I7" s="16"/>
      <c r="J7" s="3"/>
      <c r="K7" s="233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</row>
    <row r="8" ht="52" spans="1:22">
      <c r="A8" s="211" t="s">
        <v>84</v>
      </c>
      <c r="B8" s="32" t="s">
        <v>85</v>
      </c>
      <c r="C8" s="244"/>
      <c r="D8" s="16"/>
      <c r="E8" s="245" t="s">
        <v>120</v>
      </c>
      <c r="F8" s="246" t="s">
        <v>121</v>
      </c>
      <c r="G8" s="245" t="s">
        <v>122</v>
      </c>
      <c r="H8" s="31"/>
      <c r="I8" s="16"/>
      <c r="J8" s="3"/>
      <c r="K8" s="233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</row>
    <row r="9" ht="38" customHeight="1" spans="1:22">
      <c r="A9" s="211"/>
      <c r="B9" s="48" t="s">
        <v>72</v>
      </c>
      <c r="C9" s="244"/>
      <c r="D9" s="16"/>
      <c r="E9" s="18" t="s">
        <v>88</v>
      </c>
      <c r="F9" s="35" t="s">
        <v>88</v>
      </c>
      <c r="G9" s="35" t="s">
        <v>123</v>
      </c>
      <c r="H9" s="238"/>
      <c r="I9" s="16"/>
      <c r="J9" s="3"/>
      <c r="K9" s="232"/>
      <c r="L9" s="232"/>
      <c r="M9" s="232"/>
      <c r="N9" s="232"/>
      <c r="O9" s="232"/>
      <c r="P9" s="232"/>
      <c r="Q9" s="232"/>
      <c r="R9" s="232"/>
      <c r="S9" s="232"/>
      <c r="T9" s="232"/>
      <c r="U9" s="232"/>
      <c r="V9" s="232"/>
    </row>
    <row r="10" ht="38" customHeight="1" spans="1:22">
      <c r="A10" s="211"/>
      <c r="B10" s="56" t="s">
        <v>75</v>
      </c>
      <c r="C10" s="244"/>
      <c r="D10" s="244"/>
      <c r="E10" s="247">
        <f>262879+138744+113756+38144</f>
        <v>553523</v>
      </c>
      <c r="F10" s="35">
        <f>115572+91038</f>
        <v>206610</v>
      </c>
      <c r="G10" s="247">
        <f>99099+187961+55197</f>
        <v>342257</v>
      </c>
      <c r="H10" s="119"/>
      <c r="I10" s="16"/>
      <c r="J10" s="3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</row>
    <row r="11" ht="125" hidden="1" customHeight="1" spans="1:22">
      <c r="A11" s="211"/>
      <c r="B11" s="52" t="s">
        <v>76</v>
      </c>
      <c r="C11" s="244"/>
      <c r="D11" s="244"/>
      <c r="E11" s="16"/>
      <c r="F11" s="103"/>
      <c r="G11" s="248"/>
      <c r="H11" s="16"/>
      <c r="I11" s="16"/>
      <c r="J11" s="3"/>
      <c r="K11" s="233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</row>
    <row r="12" ht="149" hidden="1" customHeight="1" spans="1:22">
      <c r="A12" s="211"/>
      <c r="B12" s="55" t="s">
        <v>82</v>
      </c>
      <c r="C12" s="244"/>
      <c r="D12" s="244"/>
      <c r="E12" s="16"/>
      <c r="F12" s="35"/>
      <c r="G12" s="16"/>
      <c r="H12" s="249"/>
      <c r="I12" s="16"/>
      <c r="J12" s="3"/>
      <c r="K12" s="233"/>
      <c r="L12" s="232"/>
      <c r="M12" s="232"/>
      <c r="N12" s="232"/>
      <c r="O12" s="232"/>
      <c r="P12" s="232"/>
      <c r="Q12" s="232"/>
      <c r="R12" s="232"/>
      <c r="S12" s="232"/>
      <c r="T12" s="232"/>
      <c r="U12" s="232"/>
      <c r="V12" s="232"/>
    </row>
    <row r="13" ht="234" customHeight="1" spans="1:22">
      <c r="A13" s="250"/>
      <c r="B13" s="226" t="s">
        <v>89</v>
      </c>
      <c r="C13" s="251"/>
      <c r="D13" s="41"/>
      <c r="E13" s="41" t="s">
        <v>124</v>
      </c>
      <c r="F13" s="252" t="s">
        <v>125</v>
      </c>
      <c r="G13" s="252" t="s">
        <v>126</v>
      </c>
      <c r="H13" s="253"/>
      <c r="I13" s="41"/>
      <c r="J13" s="3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</row>
    <row r="14" ht="96" spans="1:22">
      <c r="A14" s="5" t="s">
        <v>92</v>
      </c>
      <c r="B14" s="32" t="s">
        <v>85</v>
      </c>
      <c r="C14" s="124"/>
      <c r="D14" s="254" t="s">
        <v>127</v>
      </c>
      <c r="E14" s="16"/>
      <c r="F14" s="254" t="s">
        <v>128</v>
      </c>
      <c r="G14" s="87" t="s">
        <v>129</v>
      </c>
      <c r="H14" s="124"/>
      <c r="I14" s="16"/>
      <c r="J14" s="3"/>
      <c r="K14" s="233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</row>
    <row r="15" ht="26" spans="1:22">
      <c r="A15" s="5"/>
      <c r="B15" s="48" t="s">
        <v>72</v>
      </c>
      <c r="C15" s="18"/>
      <c r="D15" s="18" t="s">
        <v>74</v>
      </c>
      <c r="E15" s="16"/>
      <c r="F15" s="251" t="s">
        <v>74</v>
      </c>
      <c r="G15" s="18" t="s">
        <v>73</v>
      </c>
      <c r="H15" s="18"/>
      <c r="I15" s="16"/>
      <c r="J15" s="3"/>
      <c r="K15" s="233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232"/>
    </row>
    <row r="16" ht="26" spans="1:22">
      <c r="A16" s="5"/>
      <c r="B16" s="56" t="s">
        <v>75</v>
      </c>
      <c r="C16" s="21"/>
      <c r="D16" s="247">
        <f>121015+21611</f>
        <v>142626</v>
      </c>
      <c r="E16" s="50"/>
      <c r="F16" s="255">
        <v>114980</v>
      </c>
      <c r="G16" s="89">
        <f>19584+45489+276457+56207+62808</f>
        <v>460545</v>
      </c>
      <c r="H16" s="232"/>
      <c r="I16" s="16"/>
      <c r="J16" s="3"/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</row>
    <row r="17" ht="26" spans="1:22">
      <c r="A17" s="5"/>
      <c r="B17" s="52" t="s">
        <v>76</v>
      </c>
      <c r="C17" s="25"/>
      <c r="D17" s="25"/>
      <c r="E17" s="16"/>
      <c r="F17" s="60"/>
      <c r="G17" s="16" t="s">
        <v>130</v>
      </c>
      <c r="H17" s="16"/>
      <c r="I17" s="16"/>
      <c r="J17" s="3"/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</row>
    <row r="18" ht="19" hidden="1" customHeight="1" spans="1:22">
      <c r="A18" s="5"/>
      <c r="B18" s="56" t="s">
        <v>89</v>
      </c>
      <c r="C18" s="16"/>
      <c r="D18" s="16"/>
      <c r="E18" s="16"/>
      <c r="F18" s="103"/>
      <c r="G18" s="16"/>
      <c r="H18" s="25"/>
      <c r="I18" s="16"/>
      <c r="J18" s="3"/>
      <c r="K18" s="233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2"/>
    </row>
    <row r="19" ht="130" customHeight="1" spans="1:22">
      <c r="A19" s="5"/>
      <c r="B19" s="256" t="s">
        <v>82</v>
      </c>
      <c r="C19" s="41"/>
      <c r="D19" s="41" t="s">
        <v>131</v>
      </c>
      <c r="E19" s="41"/>
      <c r="F19" s="257" t="s">
        <v>132</v>
      </c>
      <c r="G19" s="41"/>
      <c r="H19" s="92"/>
      <c r="I19" s="41"/>
      <c r="J19" s="3"/>
      <c r="K19" s="233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2"/>
    </row>
    <row r="20" ht="124" spans="1:22">
      <c r="A20" s="5" t="s">
        <v>103</v>
      </c>
      <c r="B20" s="258" t="s">
        <v>85</v>
      </c>
      <c r="C20" s="16"/>
      <c r="D20" s="16"/>
      <c r="E20" s="16"/>
      <c r="F20" s="259" t="s">
        <v>133</v>
      </c>
      <c r="G20" s="120" t="s">
        <v>134</v>
      </c>
      <c r="H20" s="260" t="s">
        <v>135</v>
      </c>
      <c r="I20" s="120" t="s">
        <v>136</v>
      </c>
      <c r="J20" s="3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2"/>
    </row>
    <row r="21" ht="26" spans="1:22">
      <c r="A21" s="5"/>
      <c r="B21" s="17" t="s">
        <v>72</v>
      </c>
      <c r="C21" s="16"/>
      <c r="D21" s="16"/>
      <c r="E21" s="16"/>
      <c r="F21" s="89" t="s">
        <v>73</v>
      </c>
      <c r="G21" s="18" t="s">
        <v>88</v>
      </c>
      <c r="H21" s="18" t="s">
        <v>74</v>
      </c>
      <c r="I21" s="18" t="s">
        <v>88</v>
      </c>
      <c r="J21" s="3"/>
      <c r="K21" s="233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2"/>
    </row>
    <row r="22" ht="26" spans="1:22">
      <c r="A22" s="5"/>
      <c r="B22" s="20" t="s">
        <v>75</v>
      </c>
      <c r="C22" s="16"/>
      <c r="D22" s="16"/>
      <c r="E22" s="16"/>
      <c r="F22" s="18">
        <f>164204+81112+284775</f>
        <v>530091</v>
      </c>
      <c r="G22" s="18">
        <f>87654+109813</f>
        <v>197467</v>
      </c>
      <c r="H22" s="18">
        <f>236660+191376</f>
        <v>428036</v>
      </c>
      <c r="I22" s="18">
        <f>113756+262879</f>
        <v>376635</v>
      </c>
      <c r="J22" s="3"/>
      <c r="K22" s="233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2"/>
    </row>
    <row r="23" ht="156" spans="1:22">
      <c r="A23" s="5"/>
      <c r="B23" s="24" t="s">
        <v>76</v>
      </c>
      <c r="C23" s="16"/>
      <c r="D23" s="16"/>
      <c r="E23" s="16"/>
      <c r="F23" s="25" t="s">
        <v>137</v>
      </c>
      <c r="G23" s="16"/>
      <c r="H23" s="16"/>
      <c r="I23" s="16"/>
      <c r="J23" s="3"/>
      <c r="K23" s="233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2"/>
    </row>
    <row r="24" ht="130" spans="1:22">
      <c r="A24" s="5"/>
      <c r="B24" s="20" t="s">
        <v>89</v>
      </c>
      <c r="C24" s="16"/>
      <c r="D24" s="16"/>
      <c r="E24" s="16"/>
      <c r="F24" s="16"/>
      <c r="G24" s="16"/>
      <c r="H24" s="16"/>
      <c r="I24" s="92" t="s">
        <v>138</v>
      </c>
      <c r="J24" s="3"/>
      <c r="K24" s="233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</row>
    <row r="25" ht="26" spans="1:22">
      <c r="A25" s="5"/>
      <c r="B25" s="261" t="s">
        <v>82</v>
      </c>
      <c r="C25" s="16"/>
      <c r="D25" s="16"/>
      <c r="E25" s="16"/>
      <c r="F25" s="16"/>
      <c r="G25" s="16" t="s">
        <v>139</v>
      </c>
      <c r="H25" s="57" t="s">
        <v>140</v>
      </c>
      <c r="I25" s="81"/>
      <c r="J25" s="3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2"/>
    </row>
    <row r="26" ht="26" spans="1:22">
      <c r="A26" s="3"/>
      <c r="B26" s="3"/>
      <c r="C26" s="3"/>
      <c r="D26" s="3"/>
      <c r="E26" s="3"/>
      <c r="F26" s="3"/>
      <c r="G26" s="3"/>
      <c r="H26" s="3"/>
      <c r="I26" s="3"/>
      <c r="J26" s="3"/>
      <c r="K26" s="232"/>
      <c r="L26" s="232"/>
      <c r="M26" s="232"/>
      <c r="N26" s="232"/>
      <c r="O26" s="232"/>
      <c r="P26" s="232"/>
      <c r="Q26" s="232"/>
      <c r="R26" s="232"/>
      <c r="S26" s="232"/>
      <c r="T26" s="232"/>
      <c r="U26" s="232"/>
      <c r="V26" s="232"/>
    </row>
    <row r="27" ht="26" spans="1:22">
      <c r="A27" s="3"/>
      <c r="B27" s="3"/>
      <c r="C27" s="3"/>
      <c r="D27" s="3"/>
      <c r="E27" s="3"/>
      <c r="F27" s="3"/>
      <c r="G27" s="3"/>
      <c r="H27" s="3"/>
      <c r="I27" s="3"/>
      <c r="J27" s="3"/>
      <c r="K27" s="233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</row>
    <row r="28" ht="26" spans="1:22">
      <c r="A28" s="66" t="s">
        <v>141</v>
      </c>
      <c r="B28" s="65" t="s">
        <v>142</v>
      </c>
      <c r="C28" s="64"/>
      <c r="D28" s="64"/>
      <c r="E28" s="66"/>
      <c r="F28" s="3"/>
      <c r="G28" s="3"/>
      <c r="H28" s="3"/>
      <c r="I28" s="3"/>
      <c r="J28" s="3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2"/>
    </row>
    <row r="29" ht="26" spans="1:22">
      <c r="A29" s="109" t="s">
        <v>143</v>
      </c>
      <c r="B29" s="67" t="s">
        <v>144</v>
      </c>
      <c r="C29" s="187" t="s">
        <v>145</v>
      </c>
      <c r="D29" s="63" t="s">
        <v>146</v>
      </c>
      <c r="E29" s="63"/>
      <c r="F29" s="3"/>
      <c r="G29" s="3"/>
      <c r="H29" s="3"/>
      <c r="I29" s="3"/>
      <c r="J29" s="3"/>
      <c r="K29" s="233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</row>
    <row r="30" ht="26" spans="1:22">
      <c r="A30" s="109"/>
      <c r="B30" s="67" t="s">
        <v>147</v>
      </c>
      <c r="C30" s="71" t="s">
        <v>148</v>
      </c>
      <c r="D30" s="63" t="s">
        <v>149</v>
      </c>
      <c r="E30" s="63"/>
      <c r="F30" s="3"/>
      <c r="G30" s="3"/>
      <c r="H30" s="3"/>
      <c r="I30" s="3"/>
      <c r="J30" s="3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</row>
    <row r="31" ht="26" spans="1:22">
      <c r="A31" s="109"/>
      <c r="B31" s="65" t="s">
        <v>142</v>
      </c>
      <c r="C31" s="65" t="s">
        <v>150</v>
      </c>
      <c r="D31" s="65" t="s">
        <v>151</v>
      </c>
      <c r="E31" s="65" t="s">
        <v>152</v>
      </c>
      <c r="F31" s="3"/>
      <c r="G31" s="3"/>
      <c r="H31" s="3"/>
      <c r="I31" s="3"/>
      <c r="J31" s="3"/>
      <c r="K31" s="233"/>
      <c r="L31" s="232"/>
      <c r="M31" s="232"/>
      <c r="N31" s="232"/>
      <c r="O31" s="232"/>
      <c r="P31" s="232"/>
      <c r="Q31" s="232"/>
      <c r="R31" s="232"/>
      <c r="S31" s="232"/>
      <c r="T31" s="232"/>
      <c r="U31" s="232"/>
      <c r="V31" s="232"/>
    </row>
    <row r="32" ht="26" spans="1:22">
      <c r="A32" s="109"/>
      <c r="B32" s="184" t="s">
        <v>153</v>
      </c>
      <c r="C32" s="184" t="s">
        <v>154</v>
      </c>
      <c r="D32" s="184" t="s">
        <v>155</v>
      </c>
      <c r="E32" s="184" t="s">
        <v>156</v>
      </c>
      <c r="F32" s="184"/>
      <c r="G32" s="184"/>
      <c r="H32" s="3"/>
      <c r="I32" s="3"/>
      <c r="J32" s="3"/>
      <c r="K32" s="232"/>
      <c r="L32" s="232"/>
      <c r="M32" s="232"/>
      <c r="N32" s="232"/>
      <c r="O32" s="232"/>
      <c r="P32" s="232"/>
      <c r="Q32" s="232"/>
      <c r="R32" s="232"/>
      <c r="S32" s="232"/>
      <c r="T32" s="232"/>
      <c r="U32" s="232"/>
      <c r="V32" s="232"/>
    </row>
    <row r="33" ht="26" spans="1:22">
      <c r="A33" s="109"/>
      <c r="B33" s="184" t="s">
        <v>157</v>
      </c>
      <c r="C33" s="184" t="s">
        <v>158</v>
      </c>
      <c r="D33" s="184" t="s">
        <v>159</v>
      </c>
      <c r="E33" s="184" t="s">
        <v>160</v>
      </c>
      <c r="F33" s="184"/>
      <c r="G33" s="184"/>
      <c r="H33" s="3"/>
      <c r="I33" s="3"/>
      <c r="J33" s="3"/>
      <c r="K33" s="233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2"/>
    </row>
    <row r="34" ht="26" spans="1:22">
      <c r="A34" s="109"/>
      <c r="B34" s="184" t="s">
        <v>161</v>
      </c>
      <c r="C34" s="184" t="s">
        <v>162</v>
      </c>
      <c r="D34" s="184" t="s">
        <v>163</v>
      </c>
      <c r="E34" s="184" t="s">
        <v>164</v>
      </c>
      <c r="F34" s="184"/>
      <c r="G34" s="184"/>
      <c r="H34" s="3"/>
      <c r="I34" s="3"/>
      <c r="J34" s="3"/>
      <c r="K34" s="233"/>
      <c r="L34" s="232"/>
      <c r="M34" s="232"/>
      <c r="N34" s="232"/>
      <c r="O34" s="232"/>
      <c r="P34" s="232"/>
      <c r="Q34" s="232"/>
      <c r="R34" s="232"/>
      <c r="S34" s="232"/>
      <c r="T34" s="232"/>
      <c r="U34" s="232"/>
      <c r="V34" s="232"/>
    </row>
    <row r="35" ht="22" customHeight="1" spans="1:22">
      <c r="A35" s="109"/>
      <c r="B35" s="262" t="s">
        <v>165</v>
      </c>
      <c r="C35" s="184" t="s">
        <v>166</v>
      </c>
      <c r="D35" s="184" t="s">
        <v>167</v>
      </c>
      <c r="E35" s="184" t="s">
        <v>168</v>
      </c>
      <c r="F35" s="184"/>
      <c r="G35" s="184"/>
      <c r="H35" s="3"/>
      <c r="I35" s="3"/>
      <c r="J35" s="3"/>
      <c r="K35" s="233"/>
      <c r="L35" s="232"/>
      <c r="M35" s="232"/>
      <c r="N35" s="232"/>
      <c r="O35" s="232"/>
      <c r="P35" s="232"/>
      <c r="Q35" s="232"/>
      <c r="R35" s="232"/>
      <c r="S35" s="232"/>
      <c r="T35" s="232"/>
      <c r="U35" s="232"/>
      <c r="V35" s="232"/>
    </row>
    <row r="36" ht="22" customHeight="1" spans="1:22">
      <c r="A36" s="109"/>
      <c r="B36" s="262" t="s">
        <v>169</v>
      </c>
      <c r="C36" s="184" t="s">
        <v>170</v>
      </c>
      <c r="D36" s="184" t="s">
        <v>171</v>
      </c>
      <c r="E36" s="184" t="s">
        <v>172</v>
      </c>
      <c r="F36" s="184"/>
      <c r="G36" s="184"/>
      <c r="H36" s="3"/>
      <c r="I36" s="3"/>
      <c r="J36" s="3"/>
      <c r="K36" s="233"/>
      <c r="L36" s="232"/>
      <c r="M36" s="232"/>
      <c r="N36" s="232"/>
      <c r="O36" s="232"/>
      <c r="P36" s="232"/>
      <c r="Q36" s="232"/>
      <c r="R36" s="232"/>
      <c r="S36" s="232"/>
      <c r="T36" s="232"/>
      <c r="U36" s="232"/>
      <c r="V36" s="232"/>
    </row>
    <row r="37" ht="22" customHeight="1" spans="1:22">
      <c r="A37" s="109"/>
      <c r="B37" s="262" t="s">
        <v>173</v>
      </c>
      <c r="C37" s="184" t="s">
        <v>174</v>
      </c>
      <c r="D37" s="184" t="s">
        <v>175</v>
      </c>
      <c r="E37" s="184" t="s">
        <v>176</v>
      </c>
      <c r="F37" s="184"/>
      <c r="G37" s="184"/>
      <c r="H37" s="3"/>
      <c r="I37" s="3"/>
      <c r="J37" s="3"/>
      <c r="K37" s="233"/>
      <c r="L37" s="232"/>
      <c r="M37" s="232"/>
      <c r="N37" s="232"/>
      <c r="O37" s="232"/>
      <c r="P37" s="232"/>
      <c r="Q37" s="232"/>
      <c r="R37" s="232"/>
      <c r="S37" s="232"/>
      <c r="T37" s="232"/>
      <c r="U37" s="232"/>
      <c r="V37" s="232"/>
    </row>
    <row r="38" ht="26" spans="1:22">
      <c r="A38" s="109"/>
      <c r="B38" s="229" t="s">
        <v>177</v>
      </c>
      <c r="C38" s="229" t="s">
        <v>178</v>
      </c>
      <c r="D38" s="229" t="s">
        <v>179</v>
      </c>
      <c r="E38" s="229" t="s">
        <v>180</v>
      </c>
      <c r="F38" s="184"/>
      <c r="G38" s="184"/>
      <c r="H38" s="3"/>
      <c r="I38" s="3"/>
      <c r="J38" s="3"/>
      <c r="K38" s="232"/>
      <c r="L38" s="232"/>
      <c r="M38" s="232"/>
      <c r="N38" s="232"/>
      <c r="O38" s="232"/>
      <c r="P38" s="232"/>
      <c r="Q38" s="232"/>
      <c r="R38" s="232"/>
      <c r="S38" s="232"/>
      <c r="T38" s="232"/>
      <c r="U38" s="232"/>
      <c r="V38" s="232"/>
    </row>
    <row r="39" ht="26" spans="1:22">
      <c r="A39" s="109"/>
      <c r="B39" s="229" t="s">
        <v>181</v>
      </c>
      <c r="C39" s="229" t="s">
        <v>182</v>
      </c>
      <c r="D39" s="229" t="s">
        <v>183</v>
      </c>
      <c r="E39" s="229" t="s">
        <v>184</v>
      </c>
      <c r="F39" s="184"/>
      <c r="G39" s="184"/>
      <c r="H39" s="3"/>
      <c r="I39" s="3"/>
      <c r="J39" s="3"/>
      <c r="K39" s="233"/>
      <c r="L39" s="232"/>
      <c r="M39" s="232"/>
      <c r="N39" s="232"/>
      <c r="O39" s="232"/>
      <c r="P39" s="232"/>
      <c r="Q39" s="232"/>
      <c r="R39" s="232"/>
      <c r="S39" s="232"/>
      <c r="T39" s="232"/>
      <c r="U39" s="232"/>
      <c r="V39" s="232"/>
    </row>
    <row r="40" ht="26" spans="1:22">
      <c r="A40" s="66" t="s">
        <v>141</v>
      </c>
      <c r="B40" s="65" t="s">
        <v>142</v>
      </c>
      <c r="C40" s="64"/>
      <c r="D40" s="64"/>
      <c r="E40" s="66"/>
      <c r="F40" s="3"/>
      <c r="G40" s="3"/>
      <c r="H40" s="3"/>
      <c r="I40" s="3"/>
      <c r="J40" s="3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</row>
    <row r="41" ht="26" spans="1:22">
      <c r="A41" s="109" t="s">
        <v>185</v>
      </c>
      <c r="B41" s="67" t="s">
        <v>186</v>
      </c>
      <c r="C41" s="187" t="s">
        <v>187</v>
      </c>
      <c r="D41" s="63" t="s">
        <v>188</v>
      </c>
      <c r="E41" s="63"/>
      <c r="F41" s="3"/>
      <c r="G41" s="3"/>
      <c r="H41" s="3"/>
      <c r="I41" s="3"/>
      <c r="J41" s="3"/>
      <c r="K41" s="233"/>
      <c r="L41" s="232"/>
      <c r="M41" s="232"/>
      <c r="N41" s="232"/>
      <c r="O41" s="232"/>
      <c r="P41" s="232"/>
      <c r="Q41" s="232"/>
      <c r="R41" s="232"/>
      <c r="S41" s="232"/>
      <c r="T41" s="232"/>
      <c r="U41" s="232"/>
      <c r="V41" s="232"/>
    </row>
    <row r="42" ht="26" spans="1:22">
      <c r="A42" s="109"/>
      <c r="B42" s="67" t="s">
        <v>189</v>
      </c>
      <c r="C42" s="71" t="s">
        <v>190</v>
      </c>
      <c r="D42" s="63" t="s">
        <v>191</v>
      </c>
      <c r="E42" s="63"/>
      <c r="F42" s="3"/>
      <c r="G42" s="3"/>
      <c r="H42" s="3"/>
      <c r="I42" s="3"/>
      <c r="J42" s="3"/>
      <c r="K42" s="233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</row>
    <row r="43" ht="26" spans="1:22">
      <c r="A43" s="109"/>
      <c r="B43" s="65" t="s">
        <v>142</v>
      </c>
      <c r="C43" s="65" t="s">
        <v>150</v>
      </c>
      <c r="D43" s="65" t="s">
        <v>151</v>
      </c>
      <c r="E43" s="65" t="s">
        <v>152</v>
      </c>
      <c r="F43" s="3"/>
      <c r="G43" s="3"/>
      <c r="H43" s="3"/>
      <c r="I43" s="3"/>
      <c r="J43" s="3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2"/>
      <c r="V43" s="232"/>
    </row>
    <row r="44" ht="26" spans="1:22">
      <c r="A44" s="109"/>
      <c r="B44" s="184" t="s">
        <v>192</v>
      </c>
      <c r="C44" s="184" t="s">
        <v>193</v>
      </c>
      <c r="D44" s="184" t="s">
        <v>194</v>
      </c>
      <c r="E44" s="184" t="s">
        <v>195</v>
      </c>
      <c r="F44" s="184"/>
      <c r="G44" s="184"/>
      <c r="H44" s="184"/>
      <c r="I44" s="3"/>
      <c r="J44" s="3"/>
      <c r="K44" s="233"/>
      <c r="L44" s="232"/>
      <c r="M44" s="232"/>
      <c r="N44" s="232"/>
      <c r="O44" s="232"/>
      <c r="P44" s="232"/>
      <c r="Q44" s="232"/>
      <c r="R44" s="232"/>
      <c r="S44" s="232"/>
      <c r="T44" s="232"/>
      <c r="U44" s="232"/>
      <c r="V44" s="232"/>
    </row>
    <row r="45" ht="26" spans="1:22">
      <c r="A45" s="109"/>
      <c r="B45" s="184" t="s">
        <v>196</v>
      </c>
      <c r="C45" s="184" t="s">
        <v>197</v>
      </c>
      <c r="D45" s="184" t="s">
        <v>198</v>
      </c>
      <c r="E45" s="184" t="s">
        <v>199</v>
      </c>
      <c r="F45" s="184"/>
      <c r="G45" s="184"/>
      <c r="H45" s="184"/>
      <c r="I45" s="3"/>
      <c r="J45" s="3"/>
      <c r="K45" s="233"/>
      <c r="L45" s="232"/>
      <c r="M45" s="232"/>
      <c r="N45" s="232"/>
      <c r="O45" s="232"/>
      <c r="P45" s="232"/>
      <c r="Q45" s="232"/>
      <c r="R45" s="232"/>
      <c r="S45" s="232"/>
      <c r="T45" s="232"/>
      <c r="U45" s="232"/>
      <c r="V45" s="232"/>
    </row>
    <row r="46" ht="26" spans="1:22">
      <c r="A46" s="109"/>
      <c r="B46" s="184" t="s">
        <v>200</v>
      </c>
      <c r="C46" s="184" t="s">
        <v>201</v>
      </c>
      <c r="D46" s="184" t="s">
        <v>202</v>
      </c>
      <c r="E46" s="184" t="s">
        <v>203</v>
      </c>
      <c r="F46" s="184"/>
      <c r="G46" s="184"/>
      <c r="H46" s="184"/>
      <c r="I46" s="3"/>
      <c r="J46" s="3"/>
      <c r="K46" s="232"/>
      <c r="L46" s="232"/>
      <c r="M46" s="232"/>
      <c r="N46" s="232"/>
      <c r="O46" s="232"/>
      <c r="P46" s="232"/>
      <c r="Q46" s="232"/>
      <c r="R46" s="232"/>
      <c r="S46" s="232"/>
      <c r="T46" s="232"/>
      <c r="U46" s="232"/>
      <c r="V46" s="232"/>
    </row>
    <row r="47" ht="26" spans="1:22">
      <c r="A47" s="109"/>
      <c r="B47" s="229" t="s">
        <v>204</v>
      </c>
      <c r="C47" s="229" t="s">
        <v>205</v>
      </c>
      <c r="D47" s="229" t="s">
        <v>206</v>
      </c>
      <c r="E47" s="229" t="s">
        <v>207</v>
      </c>
      <c r="F47" s="184"/>
      <c r="G47" s="184"/>
      <c r="H47" s="184"/>
      <c r="I47" s="3"/>
      <c r="J47" s="3"/>
      <c r="K47" s="263"/>
      <c r="L47" s="247"/>
      <c r="M47" s="247"/>
      <c r="N47" s="247"/>
      <c r="O47" s="247"/>
      <c r="P47" s="247"/>
      <c r="Q47" s="247"/>
      <c r="R47" s="247"/>
      <c r="S47" s="247"/>
      <c r="T47" s="247"/>
      <c r="U47" s="247"/>
      <c r="V47" s="247"/>
    </row>
    <row r="48" ht="26" spans="1:22">
      <c r="A48" s="109"/>
      <c r="B48" s="229" t="s">
        <v>208</v>
      </c>
      <c r="C48" s="229" t="s">
        <v>209</v>
      </c>
      <c r="D48" s="229" t="s">
        <v>210</v>
      </c>
      <c r="E48" s="229" t="s">
        <v>211</v>
      </c>
      <c r="F48" s="184"/>
      <c r="G48" s="184"/>
      <c r="H48" s="184"/>
      <c r="I48" s="3"/>
      <c r="J48" s="3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</row>
    <row r="49" ht="26" spans="1:22">
      <c r="A49" s="66" t="s">
        <v>141</v>
      </c>
      <c r="B49" s="65" t="s">
        <v>142</v>
      </c>
      <c r="C49" s="64"/>
      <c r="D49" s="64"/>
      <c r="E49" s="66"/>
      <c r="F49" s="3"/>
      <c r="G49" s="3"/>
      <c r="H49" s="3"/>
      <c r="I49" s="3"/>
      <c r="J49" s="3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</row>
    <row r="50" ht="26" spans="1:22">
      <c r="A50" s="109" t="s">
        <v>212</v>
      </c>
      <c r="B50" s="67" t="s">
        <v>213</v>
      </c>
      <c r="C50" s="187" t="s">
        <v>214</v>
      </c>
      <c r="D50" s="63" t="s">
        <v>215</v>
      </c>
      <c r="E50" s="63"/>
      <c r="F50" s="3"/>
      <c r="G50" s="3"/>
      <c r="H50" s="3"/>
      <c r="I50" s="3"/>
      <c r="J50" s="3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</row>
    <row r="51" ht="26" spans="1:22">
      <c r="A51" s="109"/>
      <c r="B51" s="67" t="s">
        <v>216</v>
      </c>
      <c r="C51" s="71" t="s">
        <v>217</v>
      </c>
      <c r="D51" s="63" t="s">
        <v>218</v>
      </c>
      <c r="E51" s="63"/>
      <c r="F51" s="3"/>
      <c r="G51" s="3"/>
      <c r="H51" s="3"/>
      <c r="I51" s="3"/>
      <c r="J51" s="3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</row>
    <row r="52" ht="26" spans="1:22">
      <c r="A52" s="109"/>
      <c r="B52" s="65" t="s">
        <v>142</v>
      </c>
      <c r="C52" s="65" t="s">
        <v>150</v>
      </c>
      <c r="D52" s="65" t="s">
        <v>151</v>
      </c>
      <c r="E52" s="65" t="s">
        <v>152</v>
      </c>
      <c r="F52" s="3"/>
      <c r="G52" s="3"/>
      <c r="H52" s="3"/>
      <c r="I52" s="3"/>
      <c r="J52" s="3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</row>
    <row r="53" ht="26" spans="1:22">
      <c r="A53" s="109"/>
      <c r="B53" s="184" t="s">
        <v>219</v>
      </c>
      <c r="C53" s="184" t="s">
        <v>220</v>
      </c>
      <c r="D53" s="184" t="s">
        <v>221</v>
      </c>
      <c r="E53" s="184" t="s">
        <v>222</v>
      </c>
      <c r="F53" s="184"/>
      <c r="G53" s="3"/>
      <c r="H53" s="3"/>
      <c r="I53" s="3"/>
      <c r="J53" s="3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</row>
    <row r="54" ht="26" spans="1:22">
      <c r="A54" s="109"/>
      <c r="B54" s="184" t="s">
        <v>223</v>
      </c>
      <c r="C54" s="184" t="s">
        <v>224</v>
      </c>
      <c r="D54" s="184" t="s">
        <v>225</v>
      </c>
      <c r="E54" s="184" t="s">
        <v>226</v>
      </c>
      <c r="F54" s="184"/>
      <c r="G54" s="3"/>
      <c r="H54" s="3"/>
      <c r="I54" s="3"/>
      <c r="J54" s="3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</row>
    <row r="55" ht="26" spans="1:22">
      <c r="A55" s="109"/>
      <c r="B55" s="184" t="s">
        <v>227</v>
      </c>
      <c r="C55" s="184" t="s">
        <v>228</v>
      </c>
      <c r="D55" s="184" t="s">
        <v>229</v>
      </c>
      <c r="E55" s="184" t="s">
        <v>230</v>
      </c>
      <c r="F55" s="184"/>
      <c r="G55" s="3"/>
      <c r="H55" s="3"/>
      <c r="I55" s="3"/>
      <c r="J55" s="3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</row>
    <row r="56" ht="26" spans="1:22">
      <c r="A56" s="109"/>
      <c r="B56" s="229" t="s">
        <v>231</v>
      </c>
      <c r="C56" s="229" t="s">
        <v>232</v>
      </c>
      <c r="D56" s="229" t="s">
        <v>233</v>
      </c>
      <c r="E56" s="229" t="s">
        <v>234</v>
      </c>
      <c r="F56" s="184"/>
      <c r="G56" s="184"/>
      <c r="H56" s="3"/>
      <c r="I56" s="3"/>
      <c r="J56" s="3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</row>
    <row r="57" ht="26" spans="1:22">
      <c r="A57" s="109"/>
      <c r="B57" s="229" t="s">
        <v>235</v>
      </c>
      <c r="C57" s="229" t="s">
        <v>236</v>
      </c>
      <c r="D57" s="229" t="s">
        <v>237</v>
      </c>
      <c r="E57" s="229" t="s">
        <v>238</v>
      </c>
      <c r="F57" s="184"/>
      <c r="G57" s="184"/>
      <c r="H57" s="3"/>
      <c r="I57" s="3"/>
      <c r="J57" s="3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</row>
    <row r="58" ht="26" spans="1:22">
      <c r="A58" s="66" t="s">
        <v>141</v>
      </c>
      <c r="B58" s="65" t="s">
        <v>142</v>
      </c>
      <c r="C58" s="64"/>
      <c r="D58" s="64"/>
      <c r="E58" s="66"/>
      <c r="F58" s="3"/>
      <c r="G58" s="3"/>
      <c r="H58" s="3"/>
      <c r="I58" s="3"/>
      <c r="J58" s="3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</row>
    <row r="59" ht="26" spans="1:22">
      <c r="A59" s="109" t="s">
        <v>239</v>
      </c>
      <c r="B59" s="67" t="s">
        <v>240</v>
      </c>
      <c r="C59" s="66" t="s">
        <v>241</v>
      </c>
      <c r="D59" s="66" t="s">
        <v>242</v>
      </c>
      <c r="E59" s="64"/>
      <c r="F59" s="3"/>
      <c r="G59" s="3"/>
      <c r="H59" s="3"/>
      <c r="I59" s="3"/>
      <c r="J59" s="3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</row>
    <row r="60" ht="26" spans="1:22">
      <c r="A60" s="109"/>
      <c r="B60" s="67" t="s">
        <v>243</v>
      </c>
      <c r="C60" s="66" t="s">
        <v>244</v>
      </c>
      <c r="D60" s="66" t="s">
        <v>245</v>
      </c>
      <c r="E60" s="64"/>
      <c r="F60" s="3"/>
      <c r="G60" s="3"/>
      <c r="H60" s="3"/>
      <c r="I60" s="3"/>
      <c r="J60" s="3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</row>
    <row r="61" ht="26" spans="1:22">
      <c r="A61" s="109"/>
      <c r="B61" s="65" t="s">
        <v>246</v>
      </c>
      <c r="C61" s="65" t="s">
        <v>150</v>
      </c>
      <c r="D61" s="65" t="s">
        <v>151</v>
      </c>
      <c r="E61" s="65" t="s">
        <v>152</v>
      </c>
      <c r="F61" s="3"/>
      <c r="G61" s="3"/>
      <c r="H61" s="3"/>
      <c r="I61" s="3"/>
      <c r="J61" s="3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</row>
    <row r="62" ht="26" spans="1:22">
      <c r="A62" s="109"/>
      <c r="B62" s="184" t="s">
        <v>247</v>
      </c>
      <c r="C62" s="184" t="s">
        <v>248</v>
      </c>
      <c r="D62" s="184" t="s">
        <v>249</v>
      </c>
      <c r="E62" s="184" t="s">
        <v>250</v>
      </c>
      <c r="F62" s="3"/>
      <c r="G62" s="3"/>
      <c r="H62" s="3"/>
      <c r="I62" s="3"/>
      <c r="J62" s="3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</row>
    <row r="63" ht="26" spans="1:22">
      <c r="A63" s="109"/>
      <c r="B63" s="184" t="s">
        <v>251</v>
      </c>
      <c r="C63" s="184" t="s">
        <v>252</v>
      </c>
      <c r="D63" s="184" t="s">
        <v>253</v>
      </c>
      <c r="E63" s="184" t="s">
        <v>254</v>
      </c>
      <c r="F63" s="3"/>
      <c r="G63" s="3"/>
      <c r="H63" s="3"/>
      <c r="I63" s="3"/>
      <c r="J63" s="3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</row>
    <row r="64" ht="26" spans="1:22">
      <c r="A64" s="109"/>
      <c r="B64" s="184" t="s">
        <v>255</v>
      </c>
      <c r="C64" s="184" t="s">
        <v>256</v>
      </c>
      <c r="D64" s="184" t="s">
        <v>257</v>
      </c>
      <c r="E64" s="184" t="s">
        <v>258</v>
      </c>
      <c r="F64" s="3"/>
      <c r="G64" s="3"/>
      <c r="H64" s="3"/>
      <c r="I64" s="3"/>
      <c r="J64" s="3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</row>
    <row r="65" ht="26" spans="1:22">
      <c r="A65" s="109"/>
      <c r="B65" s="264" t="s">
        <v>259</v>
      </c>
      <c r="C65" s="264" t="s">
        <v>260</v>
      </c>
      <c r="D65" s="264" t="s">
        <v>261</v>
      </c>
      <c r="E65" s="264" t="s">
        <v>262</v>
      </c>
      <c r="F65" s="3"/>
      <c r="G65" s="3"/>
      <c r="H65" s="3"/>
      <c r="I65" s="3"/>
      <c r="J65" s="3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</row>
    <row r="66" ht="26" spans="1:22">
      <c r="A66" s="66" t="s">
        <v>141</v>
      </c>
      <c r="B66" s="65" t="s">
        <v>142</v>
      </c>
      <c r="C66" s="64"/>
      <c r="D66" s="64"/>
      <c r="E66" s="66"/>
      <c r="F66" s="3"/>
      <c r="G66" s="3"/>
      <c r="H66" s="3"/>
      <c r="I66" s="3"/>
      <c r="J66" s="3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</row>
    <row r="67" ht="26" spans="1:22">
      <c r="A67" s="109" t="s">
        <v>263</v>
      </c>
      <c r="B67" s="67" t="s">
        <v>264</v>
      </c>
      <c r="C67" s="114" t="s">
        <v>265</v>
      </c>
      <c r="D67" s="265" t="s">
        <v>266</v>
      </c>
      <c r="E67" s="63"/>
      <c r="F67" s="3"/>
      <c r="G67" s="3"/>
      <c r="H67" s="3"/>
      <c r="I67" s="3"/>
      <c r="J67" s="3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</row>
    <row r="68" ht="26" spans="1:22">
      <c r="A68" s="109"/>
      <c r="B68" s="67" t="s">
        <v>267</v>
      </c>
      <c r="C68" s="71" t="s">
        <v>268</v>
      </c>
      <c r="D68" s="265" t="s">
        <v>269</v>
      </c>
      <c r="E68" s="63"/>
      <c r="F68" s="3"/>
      <c r="G68" s="3"/>
      <c r="H68" s="3"/>
      <c r="I68" s="3"/>
      <c r="J68" s="3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</row>
    <row r="69" ht="26" spans="1:22">
      <c r="A69" s="109"/>
      <c r="B69" s="65" t="s">
        <v>142</v>
      </c>
      <c r="C69" s="65" t="s">
        <v>150</v>
      </c>
      <c r="D69" s="65" t="s">
        <v>151</v>
      </c>
      <c r="E69" s="65" t="s">
        <v>152</v>
      </c>
      <c r="F69" s="3"/>
      <c r="G69" s="3"/>
      <c r="H69" s="3"/>
      <c r="I69" s="3"/>
      <c r="J69" s="3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</row>
    <row r="70" ht="26" spans="1:22">
      <c r="A70" s="109"/>
      <c r="B70" s="184" t="s">
        <v>270</v>
      </c>
      <c r="C70" s="184" t="s">
        <v>271</v>
      </c>
      <c r="D70" s="184" t="s">
        <v>272</v>
      </c>
      <c r="E70" s="184" t="s">
        <v>273</v>
      </c>
      <c r="F70" s="3"/>
      <c r="G70" s="3"/>
      <c r="H70" s="3"/>
      <c r="I70" s="3"/>
      <c r="J70" s="3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</row>
    <row r="71" ht="26" spans="1:22">
      <c r="A71" s="109"/>
      <c r="B71" s="184" t="s">
        <v>274</v>
      </c>
      <c r="C71" s="184" t="s">
        <v>275</v>
      </c>
      <c r="D71" s="184" t="s">
        <v>276</v>
      </c>
      <c r="E71" s="184" t="s">
        <v>277</v>
      </c>
      <c r="F71" s="3"/>
      <c r="G71" s="3"/>
      <c r="H71" s="3"/>
      <c r="I71" s="3"/>
      <c r="J71" s="3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</row>
    <row r="72" ht="26" spans="1:22">
      <c r="A72" s="109"/>
      <c r="B72" s="184" t="s">
        <v>278</v>
      </c>
      <c r="C72" s="184" t="s">
        <v>279</v>
      </c>
      <c r="D72" s="184" t="s">
        <v>280</v>
      </c>
      <c r="E72" s="184" t="s">
        <v>281</v>
      </c>
      <c r="F72" s="3"/>
      <c r="G72" s="3"/>
      <c r="H72" s="3"/>
      <c r="I72" s="3"/>
      <c r="J72" s="3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</row>
    <row r="73" ht="26" spans="1:22">
      <c r="A73" s="109"/>
      <c r="B73" s="229" t="s">
        <v>282</v>
      </c>
      <c r="C73" s="229" t="s">
        <v>283</v>
      </c>
      <c r="D73" s="229" t="s">
        <v>284</v>
      </c>
      <c r="E73" s="229" t="s">
        <v>285</v>
      </c>
      <c r="F73" s="3"/>
      <c r="G73" s="3"/>
      <c r="H73" s="3"/>
      <c r="I73" s="3"/>
      <c r="J73" s="3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</row>
    <row r="74" ht="26" spans="1:22">
      <c r="A74" s="109"/>
      <c r="B74" s="229" t="s">
        <v>286</v>
      </c>
      <c r="C74" s="229" t="s">
        <v>287</v>
      </c>
      <c r="D74" s="229" t="s">
        <v>288</v>
      </c>
      <c r="E74" s="229" t="s">
        <v>289</v>
      </c>
      <c r="F74" s="3"/>
      <c r="G74" s="3"/>
      <c r="H74" s="3"/>
      <c r="I74" s="3"/>
      <c r="J74" s="3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</row>
    <row r="75" ht="26" spans="1:22">
      <c r="A75" s="3" t="s">
        <v>290</v>
      </c>
      <c r="B75" s="266" t="s">
        <v>142</v>
      </c>
      <c r="C75" s="3"/>
      <c r="D75" s="3"/>
      <c r="E75" s="3"/>
      <c r="F75" s="3"/>
      <c r="G75" s="3"/>
      <c r="H75" s="3"/>
      <c r="I75" s="3"/>
      <c r="J75" s="3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</row>
    <row r="76" ht="26" spans="1:22">
      <c r="A76" s="3"/>
      <c r="B76" s="61">
        <v>130089008084</v>
      </c>
      <c r="C76" s="61" t="s">
        <v>291</v>
      </c>
      <c r="E76" s="3"/>
      <c r="F76" s="3"/>
      <c r="G76" s="3"/>
      <c r="H76" s="3"/>
      <c r="I76" s="3"/>
      <c r="J76" s="3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</row>
    <row r="77" ht="26" spans="1:22">
      <c r="A77" s="3"/>
      <c r="B77" s="61">
        <v>130098516800</v>
      </c>
      <c r="C77" s="61" t="s">
        <v>292</v>
      </c>
      <c r="D77" s="3"/>
      <c r="E77" s="3"/>
      <c r="F77" s="3"/>
      <c r="G77" s="3"/>
      <c r="H77" s="3"/>
      <c r="I77" s="3"/>
      <c r="J77" s="3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</row>
    <row r="78" ht="26" spans="1:22">
      <c r="A78" s="3"/>
      <c r="B78" s="184" t="s">
        <v>293</v>
      </c>
      <c r="C78" s="184" t="s">
        <v>294</v>
      </c>
      <c r="D78" s="184" t="s">
        <v>295</v>
      </c>
      <c r="E78" s="184" t="s">
        <v>296</v>
      </c>
      <c r="F78" s="184" t="s">
        <v>297</v>
      </c>
      <c r="G78" s="3"/>
      <c r="H78" s="3"/>
      <c r="I78" s="3"/>
      <c r="J78" s="3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</row>
    <row r="79" ht="26" spans="1:22">
      <c r="A79" s="3"/>
      <c r="B79" s="184" t="s">
        <v>298</v>
      </c>
      <c r="C79" s="184" t="s">
        <v>299</v>
      </c>
      <c r="D79" s="184" t="s">
        <v>295</v>
      </c>
      <c r="E79" s="184" t="s">
        <v>300</v>
      </c>
      <c r="F79" s="184" t="s">
        <v>301</v>
      </c>
      <c r="G79" s="3"/>
      <c r="H79" s="3"/>
      <c r="I79" s="3"/>
      <c r="J79" s="3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</row>
    <row r="80" ht="26" spans="1:22">
      <c r="A80" s="3"/>
      <c r="B80" s="184" t="s">
        <v>302</v>
      </c>
      <c r="C80" s="184" t="s">
        <v>303</v>
      </c>
      <c r="D80" s="184" t="s">
        <v>295</v>
      </c>
      <c r="E80" s="184" t="s">
        <v>304</v>
      </c>
      <c r="F80" s="184" t="s">
        <v>305</v>
      </c>
      <c r="G80" s="3"/>
      <c r="H80" s="3"/>
      <c r="I80" s="3"/>
      <c r="J80" s="3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</row>
    <row r="81" ht="26" spans="1:22">
      <c r="A81" s="3"/>
      <c r="B81" s="184" t="s">
        <v>306</v>
      </c>
      <c r="C81" s="184" t="s">
        <v>307</v>
      </c>
      <c r="D81" s="184" t="s">
        <v>295</v>
      </c>
      <c r="E81" s="184" t="s">
        <v>308</v>
      </c>
      <c r="F81" s="184" t="s">
        <v>309</v>
      </c>
      <c r="G81" s="3"/>
      <c r="H81" s="3"/>
      <c r="I81" s="3"/>
      <c r="J81" s="3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</row>
    <row r="82" ht="26" spans="1:22">
      <c r="A82" s="3"/>
      <c r="B82" s="184" t="s">
        <v>310</v>
      </c>
      <c r="C82" s="184" t="s">
        <v>311</v>
      </c>
      <c r="D82" s="184" t="s">
        <v>295</v>
      </c>
      <c r="E82" s="184" t="s">
        <v>312</v>
      </c>
      <c r="F82" s="184" t="s">
        <v>313</v>
      </c>
      <c r="G82" s="3"/>
      <c r="H82" s="3"/>
      <c r="I82" s="3"/>
      <c r="J82" s="3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</row>
    <row r="83" ht="26" spans="1:22">
      <c r="A83" s="267"/>
      <c r="B83" s="267" t="s">
        <v>142</v>
      </c>
      <c r="C83" s="267"/>
      <c r="D83" s="267"/>
      <c r="E83" s="267"/>
      <c r="F83" s="267"/>
      <c r="G83" s="267"/>
      <c r="H83" s="267"/>
      <c r="I83" s="267"/>
      <c r="J83" s="267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</row>
    <row r="84" ht="26" spans="1:22">
      <c r="A84" s="3" t="s">
        <v>314</v>
      </c>
      <c r="B84" s="61">
        <v>130244680630</v>
      </c>
      <c r="C84" s="61" t="s">
        <v>315</v>
      </c>
      <c r="D84" s="3"/>
      <c r="E84" s="3"/>
      <c r="F84" s="3"/>
      <c r="G84" s="3"/>
      <c r="H84" s="3"/>
      <c r="I84" s="3"/>
      <c r="J84" s="3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</row>
    <row r="85" ht="26" spans="1:22">
      <c r="A85" s="3"/>
      <c r="B85" s="75">
        <v>130245278766</v>
      </c>
      <c r="C85" s="75" t="s">
        <v>316</v>
      </c>
      <c r="D85" s="3"/>
      <c r="E85" s="3"/>
      <c r="F85" s="3"/>
      <c r="G85" s="3"/>
      <c r="H85" s="3"/>
      <c r="I85" s="3"/>
      <c r="J85" s="3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</row>
    <row r="86" ht="26" spans="1:22">
      <c r="A86" s="3"/>
      <c r="B86" s="3" t="s">
        <v>317</v>
      </c>
      <c r="C86" s="184" t="s">
        <v>318</v>
      </c>
      <c r="D86" s="184"/>
      <c r="E86" s="184"/>
      <c r="F86" s="184"/>
      <c r="G86" s="184"/>
      <c r="H86" s="184"/>
      <c r="I86" s="3"/>
      <c r="J86" s="3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</row>
    <row r="87" ht="26" spans="1:22">
      <c r="A87" s="3"/>
      <c r="B87" s="184" t="s">
        <v>319</v>
      </c>
      <c r="C87" s="184" t="s">
        <v>320</v>
      </c>
      <c r="D87" s="184" t="s">
        <v>295</v>
      </c>
      <c r="E87" s="184" t="s">
        <v>321</v>
      </c>
      <c r="F87" s="184" t="s">
        <v>322</v>
      </c>
      <c r="G87" s="184"/>
      <c r="H87" s="184"/>
      <c r="I87" s="3"/>
      <c r="J87" s="3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</row>
    <row r="88" ht="26" spans="1:22">
      <c r="A88" s="3"/>
      <c r="B88" s="184" t="s">
        <v>323</v>
      </c>
      <c r="C88" s="184" t="s">
        <v>324</v>
      </c>
      <c r="D88" s="184" t="s">
        <v>295</v>
      </c>
      <c r="E88" s="184" t="s">
        <v>325</v>
      </c>
      <c r="F88" s="184" t="s">
        <v>326</v>
      </c>
      <c r="G88" s="184"/>
      <c r="H88" s="184"/>
      <c r="I88" s="3"/>
      <c r="J88" s="3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</row>
    <row r="89" ht="26" spans="1:22">
      <c r="A89" s="3"/>
      <c r="B89" s="184" t="s">
        <v>327</v>
      </c>
      <c r="C89" s="184" t="s">
        <v>328</v>
      </c>
      <c r="D89" s="184" t="s">
        <v>295</v>
      </c>
      <c r="E89" s="184" t="s">
        <v>329</v>
      </c>
      <c r="F89" s="184" t="s">
        <v>330</v>
      </c>
      <c r="G89" s="184"/>
      <c r="H89" s="184"/>
      <c r="I89" s="3"/>
      <c r="J89" s="3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</row>
    <row r="90" ht="26" spans="1:22">
      <c r="A90" s="3"/>
      <c r="B90" s="184" t="s">
        <v>331</v>
      </c>
      <c r="C90" s="184" t="s">
        <v>332</v>
      </c>
      <c r="D90" s="184" t="s">
        <v>295</v>
      </c>
      <c r="E90" s="184" t="s">
        <v>333</v>
      </c>
      <c r="F90" s="184" t="s">
        <v>334</v>
      </c>
      <c r="G90" s="184"/>
      <c r="H90" s="184"/>
      <c r="I90" s="3"/>
      <c r="J90" s="3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</row>
    <row r="91" ht="26" spans="1:22">
      <c r="A91" s="3"/>
      <c r="B91" s="184" t="s">
        <v>335</v>
      </c>
      <c r="C91" s="184" t="s">
        <v>336</v>
      </c>
      <c r="D91" s="184" t="s">
        <v>295</v>
      </c>
      <c r="E91" s="184" t="s">
        <v>337</v>
      </c>
      <c r="F91" s="184" t="s">
        <v>338</v>
      </c>
      <c r="G91" s="184"/>
      <c r="H91" s="184"/>
      <c r="I91" s="3"/>
      <c r="J91" s="3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</row>
    <row r="92" ht="26" spans="1:22">
      <c r="A92" s="3"/>
      <c r="B92" s="3"/>
      <c r="C92" s="3"/>
      <c r="D92" s="3"/>
      <c r="E92" s="3"/>
      <c r="F92" s="3"/>
      <c r="G92" s="3"/>
      <c r="H92" s="3"/>
      <c r="I92" s="3"/>
      <c r="J92" s="3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</row>
    <row r="93" ht="26" spans="1:22">
      <c r="A93" s="3"/>
      <c r="B93" s="3"/>
      <c r="C93" s="3"/>
      <c r="D93" s="3"/>
      <c r="E93" s="3"/>
      <c r="F93" s="3"/>
      <c r="G93" s="3"/>
      <c r="H93" s="3"/>
      <c r="I93" s="3"/>
      <c r="J93" s="3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</row>
    <row r="94" ht="26" spans="1:22">
      <c r="A94" s="3"/>
      <c r="B94" s="3"/>
      <c r="C94" s="3"/>
      <c r="D94" s="3"/>
      <c r="E94" s="3"/>
      <c r="F94" s="3"/>
      <c r="G94" s="3"/>
      <c r="H94" s="3"/>
      <c r="I94" s="3"/>
      <c r="J94" s="3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</row>
    <row r="95" ht="26" spans="1:22">
      <c r="A95" s="3"/>
      <c r="B95" s="3"/>
      <c r="C95" s="3"/>
      <c r="D95" s="3"/>
      <c r="E95" s="3"/>
      <c r="F95" s="3"/>
      <c r="G95" s="3"/>
      <c r="H95" s="3"/>
      <c r="I95" s="3"/>
      <c r="J95" s="3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</row>
    <row r="96" ht="26" spans="1:22">
      <c r="A96" s="3"/>
      <c r="B96" s="3"/>
      <c r="C96" s="3"/>
      <c r="D96" s="3"/>
      <c r="E96" s="3"/>
      <c r="F96" s="3"/>
      <c r="G96" s="3"/>
      <c r="H96" s="3"/>
      <c r="I96" s="3"/>
      <c r="J96" s="3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</row>
    <row r="97" ht="26" spans="1:22">
      <c r="A97" s="3"/>
      <c r="B97" s="3"/>
      <c r="C97" s="3"/>
      <c r="D97" s="3"/>
      <c r="E97" s="3"/>
      <c r="F97" s="3"/>
      <c r="G97" s="3"/>
      <c r="H97" s="3"/>
      <c r="I97" s="3"/>
      <c r="J97" s="3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</row>
    <row r="98" ht="26" spans="1:22">
      <c r="A98" s="3"/>
      <c r="B98" s="3"/>
      <c r="C98" s="3"/>
      <c r="D98" s="3"/>
      <c r="E98" s="3"/>
      <c r="F98" s="3"/>
      <c r="G98" s="3"/>
      <c r="H98" s="3"/>
      <c r="I98" s="3"/>
      <c r="J98" s="3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</row>
    <row r="99" ht="26" spans="1:22">
      <c r="A99" s="3"/>
      <c r="B99" s="3"/>
      <c r="C99" s="3"/>
      <c r="D99" s="3"/>
      <c r="E99" s="3"/>
      <c r="F99" s="3"/>
      <c r="G99" s="3"/>
      <c r="H99" s="3"/>
      <c r="I99" s="3"/>
      <c r="J99" s="3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</row>
    <row r="100" ht="26" spans="1:2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</row>
    <row r="101" ht="26" spans="1:2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</row>
    <row r="102" ht="26" spans="1:2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</row>
    <row r="103" ht="26" spans="1:2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</row>
    <row r="104" ht="26" spans="1:2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</row>
    <row r="105" ht="26" spans="1:2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</row>
    <row r="106" ht="26" spans="1:2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</row>
    <row r="107" ht="26" spans="1:2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</row>
    <row r="108" ht="26" spans="1:2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</row>
    <row r="109" ht="26" spans="1:2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</row>
    <row r="110" ht="26" spans="1:2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</row>
    <row r="111" ht="26" spans="1:2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</row>
    <row r="112" ht="26" spans="1:2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</row>
    <row r="113" ht="26" spans="1:2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</row>
    <row r="114" ht="26" spans="1:2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</row>
    <row r="115" ht="26" spans="1:2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</row>
    <row r="116" ht="26" spans="1:2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</row>
    <row r="117" ht="26" spans="1:2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</row>
    <row r="118" ht="26" spans="1:2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</row>
    <row r="119" ht="26" spans="1:2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</row>
    <row r="120" ht="26" spans="1:2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</row>
    <row r="121" ht="26" spans="1:2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</row>
    <row r="122" ht="26" spans="1: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</row>
    <row r="123" ht="26" spans="1:2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</row>
    <row r="124" ht="26" spans="1:2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</row>
    <row r="125" ht="26" spans="1:2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</row>
    <row r="126" ht="26" spans="1:2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</row>
    <row r="127" ht="26" spans="1:2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</row>
    <row r="128" ht="26" spans="1:2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</row>
    <row r="129" ht="26" spans="1:2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</row>
    <row r="130" ht="26" spans="1:2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</row>
    <row r="131" ht="26" spans="1:2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</row>
    <row r="132" ht="26" spans="1:2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</row>
    <row r="133" ht="26" spans="1:2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</row>
    <row r="134" ht="26" spans="1:2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</row>
    <row r="135" ht="26" spans="1:2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</row>
    <row r="136" ht="26" spans="1:2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</row>
    <row r="137" ht="26" spans="1:2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</row>
    <row r="138" ht="26" spans="1:2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</row>
    <row r="139" ht="26" spans="1:2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</row>
    <row r="140" ht="26" spans="1:2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</row>
    <row r="141" ht="26" spans="1:2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</row>
    <row r="142" ht="26" spans="1:2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</row>
    <row r="143" ht="26" spans="1:2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</row>
    <row r="144" ht="26" spans="1:2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</row>
    <row r="145" ht="26" spans="1:2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</row>
    <row r="146" ht="26" spans="1:2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</row>
    <row r="147" ht="26" spans="1:2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</row>
    <row r="148" ht="26" spans="1:2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</row>
    <row r="149" ht="26" spans="1:2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</row>
    <row r="150" ht="26" spans="1:2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</row>
    <row r="151" ht="26" spans="1:2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</row>
    <row r="152" ht="26" spans="1:2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</row>
    <row r="153" ht="26" spans="1:2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</row>
    <row r="154" ht="26" spans="1:2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</row>
    <row r="155" ht="26" spans="1:2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</row>
    <row r="156" ht="26" spans="1:2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</row>
    <row r="157" ht="26" spans="1:2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</row>
    <row r="158" ht="26" spans="1:2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</row>
    <row r="159" ht="26" spans="1:2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</row>
    <row r="160" ht="26" spans="1:2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</row>
    <row r="161" ht="26" spans="1:2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</row>
    <row r="162" ht="26" spans="1:2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</row>
    <row r="163" ht="26" spans="1:2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</row>
    <row r="164" ht="26" spans="1:2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</row>
    <row r="165" ht="26" spans="1:2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</row>
    <row r="166" ht="26" spans="1:2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</row>
    <row r="167" ht="26" spans="1:2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</row>
    <row r="168" ht="26" spans="1:2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</row>
    <row r="169" ht="26" spans="1:2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</row>
    <row r="170" ht="26" spans="1:2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</row>
    <row r="171" ht="26" spans="1:2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</row>
    <row r="172" ht="26" spans="1:2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</row>
    <row r="173" ht="26" spans="1:2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</row>
    <row r="174" ht="26" spans="1:2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</row>
    <row r="175" ht="26" spans="1:2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</row>
    <row r="176" ht="26" spans="1:2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</row>
    <row r="177" ht="26" spans="1:2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</row>
    <row r="178" ht="26" spans="1:2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</row>
    <row r="179" ht="26" spans="1:2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</row>
    <row r="180" ht="26" spans="1:2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</row>
    <row r="181" ht="26" spans="1:2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</row>
    <row r="182" ht="26" spans="1:2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</row>
    <row r="183" ht="26" spans="1:2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</row>
    <row r="184" ht="26" spans="1:2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</row>
    <row r="185" ht="26" spans="1:2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</row>
    <row r="186" ht="26" spans="1:2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</row>
    <row r="187" ht="26" spans="1:2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</row>
    <row r="188" ht="26" spans="1:2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</row>
    <row r="189" ht="26" spans="1:2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</row>
    <row r="190" ht="26" spans="1:2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</row>
  </sheetData>
  <mergeCells count="12">
    <mergeCell ref="A3:A7"/>
    <mergeCell ref="A8:A13"/>
    <mergeCell ref="A14:A19"/>
    <mergeCell ref="A20:A25"/>
    <mergeCell ref="A29:A39"/>
    <mergeCell ref="A41:A48"/>
    <mergeCell ref="A50:A57"/>
    <mergeCell ref="A59:A65"/>
    <mergeCell ref="A67:A74"/>
    <mergeCell ref="A75:A82"/>
    <mergeCell ref="A84:A90"/>
    <mergeCell ref="B1:B3"/>
  </mergeCells>
  <hyperlinks>
    <hyperlink ref="C90" r:id="rId1" display="https://s.xingqudao.net/SOYeiLCt"/>
    <hyperlink ref="E54" r:id="rId2" display="https://s.xingqudao.net/SOYeg1Uc"/>
    <hyperlink ref="D46" r:id="rId3" display="https://t1.nicegoods.cn/financial/experience-plan-sku?launchId=129361506776&amp;wcl=210500_14233694_financing"/>
    <hyperlink ref="D45" r:id="rId4" display="https://t1.nicegoods.cn/financial/experience-plan-sku?launchId=129361506776&amp;wcl=210500_14233693_financing"/>
    <hyperlink ref="E64" r:id="rId5" display="https://s.xingqudao.net/SOYeh42d"/>
    <hyperlink ref="C91" r:id="rId6" display="https://s.xingqudao.net/SOYeiLCu"/>
    <hyperlink ref="D35" r:id="rId7" display="https://t1.nicegoods.cn/financial/experience-plan-sku?launchId=129344398905&amp;wcl=210500_14235667_financing"/>
    <hyperlink ref="D57" r:id="rId8" display="https://t1.nicegoods.cn/financial/experience-plan-sku?launchId=129361105896&amp;wcl=210500_14233696_financing"/>
    <hyperlink ref="D29" r:id="rId9" display="https://t1.nicegoods.cn/financial/experience-plan-sku?launchId=129347299580"/>
    <hyperlink ref="C88" r:id="rId10" display="https://s.xingqudao.net/SOYeiLCr"/>
    <hyperlink ref="D36" r:id="rId11" display="https://t1.nicegoods.cn/financial/experience-plan-sku?launchId=129344398905&amp;wcl=210500_14235668_financing"/>
    <hyperlink ref="H3" r:id="rId12" display="一杰瑜伽晨练&#10;已有单课id&#10;7:00开播&#10;复用3.24&#10;预约链接：https://s.xingqudao.net/SOYehlWI"/>
    <hyperlink ref="F90" r:id="rId13" display="https://t1.nicegoods.cn/financial/experience-plan-sku?launchId=130244680630&amp;wcl=210500_14235453_financing"/>
    <hyperlink ref="D68" r:id="rId14" display="https://t1.nicegoods.cn/financial/experience-plan-sku?launchId=129970161052"/>
    <hyperlink ref="C81" r:id="rId15" display="https://s.xingqudao.net/SOYehrPF"/>
    <hyperlink ref="F91" r:id="rId16" display="https://t1.nicegoods.cn/financial/experience-plan-sku?launchId=130245278766&amp;wcl=210500_14235454_financing"/>
    <hyperlink ref="F79" r:id="rId17" display="https://t1.nicegoods.cn/financial/experience-plan-sku?launchId=130098516800&amp;wcl=210500_14235118_financing"/>
    <hyperlink ref="F80" r:id="rId18" display="https://t1.nicegoods.cn/financial/experience-plan-sku?launchId=130098516800&amp;wcl=210500_14235119_financing"/>
    <hyperlink ref="D37" r:id="rId19" display="https://t1.nicegoods.cn/financial/experience-plan-sku?launchId=129344398905&amp;wcl=210500_14235669_financing"/>
    <hyperlink ref="F89" r:id="rId20" display="https://t1.nicegoods.cn/financial/experience-plan-sku?launchId=130244680630&amp;wcl=210500_14235452_financing"/>
    <hyperlink ref="E37" r:id="rId21" display="https://s.xingqudao.net/SOYeiOnV"/>
    <hyperlink ref="D54" r:id="rId22" display="https://t1.nicegoods.cn/financial/experience-plan-sku?launchId=129361105896&amp;wcl=210500_14233698_financing"/>
    <hyperlink ref="C89" r:id="rId23" display="https://s.xingqudao.net/SOYeiLCs"/>
    <hyperlink ref="E46" r:id="rId24" display="https://s.xingqudao.net/SOYeg1UY"/>
    <hyperlink ref="D50" r:id="rId25" display="https://t1.nicegoods.cn/financial/experience-plan-sku?launchId=129360805488"/>
    <hyperlink ref="F78" r:id="rId26" display="https://t1.nicegoods.cn/financial/experience-plan-sku?launchId=130098516800&amp;wcl=210500_14235122_financing"/>
    <hyperlink ref="C79" r:id="rId27" display="https://s.xingqudao.net/SOYehrPD"/>
    <hyperlink ref="E70" r:id="rId28" display="https://s.xingqudao.net/SOYehi4u"/>
    <hyperlink ref="E55" r:id="rId29" display="https://s.xingqudao.net/SOYeg1Ud"/>
    <hyperlink ref="D67" r:id="rId30" display="https://t1.nicegoods.cn/financial/experience-plan-sku?launchId=129970161032"/>
    <hyperlink ref="E74" r:id="rId31" display="https://s.xingqudao.net/SOYehi4t"/>
    <hyperlink ref="D48" r:id="rId32" display="https://t1.nicegoods.cn/financial/experience-plan-sku?launchId=129361506776&amp;wcl=210500_14233691_financing"/>
    <hyperlink ref="F81" r:id="rId33" display="https://t1.nicegoods.cn/financial/experience-plan-sku?launchId=130098516800&amp;wcl=210500_14235120_financing"/>
    <hyperlink ref="C87" r:id="rId34" display="https://s.xingqudao.net/SOYeiLCv"/>
    <hyperlink ref="D56" r:id="rId35" display="https://t1.nicegoods.cn/financial/experience-plan-sku?launchId=129360805488&amp;wcl=210500_14233695_financing"/>
    <hyperlink ref="E65" r:id="rId36" display="https://s.xingqudao.net/SOYeh42e"/>
    <hyperlink ref="D38" r:id="rId37" display="https://t1.nicegoods.cn/financial/experience-plan-sku?launchId=129347299580&amp;wcl=210500_14233678_financing"/>
    <hyperlink ref="D41" r:id="rId38" display="https://t1.nicegoods.cn/financial/experience-plan-sku?launchId=129360804826"/>
    <hyperlink ref="E32" r:id="rId39" display="https://s.xingqudao.net/SOYeg1KO"/>
    <hyperlink ref="D42" r:id="rId40" display="https://t1.nicegoods.cn/financial/experience-plan-sku?launchId=129361506776"/>
    <hyperlink ref="F88" r:id="rId41" display="https://t1.nicegoods.cn/financial/experience-plan-sku?launchId=130244680630&amp;wcl=210500_14235451_financing"/>
    <hyperlink ref="D39" r:id="rId42" display="https://t1.nicegoods.cn/financial/experience-plan-sku?launchId=129344398905&amp;wcl=210500_14233679_financing"/>
    <hyperlink ref="E39" r:id="rId43" display="https://s.xingqudao.net/SOYeg1KN"/>
    <hyperlink ref="D62" r:id="rId44" display="https://t1.nicegoods.cn/financial/experience-plan-sku?launchId=129791101491&amp;wcl=210500_14233940_financing"/>
    <hyperlink ref="E36" r:id="rId45" display="https://s.xingqudao.net/SOYeiOnU"/>
    <hyperlink ref="E53" r:id="rId46" display="https://s.xingqudao.net/SOYeg1Ub"/>
    <hyperlink ref="D72" r:id="rId47" display="https://t1.nicegoods.cn/financial/experience-plan-sku?launchId=129970161052&amp;wcl=210500_14234220_financing"/>
    <hyperlink ref="D32" r:id="rId48" display="https://t1.nicegoods.cn/financial/experience-plan-sku?launchId=129344398905&amp;wcl=210500_14233680_financing"/>
    <hyperlink ref="E47" r:id="rId49" display="https://s.xingqudao.net/SOYeg1UT"/>
    <hyperlink ref="C80" r:id="rId50" display="https://s.xingqudao.net/SOYehrPE"/>
    <hyperlink ref="F87" r:id="rId51" display="https://t1.nicegoods.cn/financial/experience-plan-sku?launchId=130244680630&amp;wcl=210500_14235455_financing"/>
    <hyperlink ref="E48" r:id="rId52" display="https://s.xingqudao.net/SOYeg1UU"/>
    <hyperlink ref="E56" r:id="rId53" display="https://s.xingqudao.net/SOYeg1UZ"/>
    <hyperlink ref="E73" r:id="rId54" display="https://s.xingqudao.net/SOYehi4s"/>
    <hyperlink ref="D55" r:id="rId55" display="https://t1.nicegoods.cn/financial/experience-plan-sku?launchId=129361105896&amp;wcl=210500_14233699_financing"/>
    <hyperlink ref="E63" r:id="rId56" display="https://s.xingqudao.net/SOYeh42c"/>
    <hyperlink ref="E34" r:id="rId57" display="https://s.xingqudao.net/SOYeg1KQ"/>
    <hyperlink ref="E38" r:id="rId58" display="https://s.xingqudao.net/SOYeg1KM"/>
    <hyperlink ref="D30" r:id="rId59" display="https://t1.nicegoods.cn/financial/experience-plan-sku?launchId=129344398905"/>
    <hyperlink ref="D70" r:id="rId60" display="https://t1.nicegoods.cn/financial/experience-plan-sku?launchId=129970161052&amp;wcl=210500_14234218_financing"/>
    <hyperlink ref="D47" r:id="rId61" display="https://t1.nicegoods.cn/financial/experience-plan-sku?launchId=129360804826&amp;wcl=210500_14233690_financing"/>
    <hyperlink ref="C78" r:id="rId62" display="https://s.xingqudao.net/SOYehrPH"/>
    <hyperlink ref="E72" r:id="rId63" display="https://s.xingqudao.net/SOYehi4w"/>
    <hyperlink ref="D71" r:id="rId64" display="https://t1.nicegoods.cn/financial/experience-plan-sku?launchId=129970161052&amp;wcl=210500_14234219_financing"/>
    <hyperlink ref="G20" r:id="rId65" display="编织-0元&#10;文案可参考5.8编织直播&#10;直播间ID：3660468644&#10;预约链接：https://s.xingqudao.net/SOYein1C"/>
    <hyperlink ref="D63" r:id="rId66" display="https://t1.nicegoods.cn/financial/experience-plan-sku?launchId=129791101491&amp;wcl=210500_14233941_financing"/>
    <hyperlink ref="E33" r:id="rId67" display="https://s.xingqudao.net/SOYeg1KP"/>
    <hyperlink ref="H20" r:id="rId68" display="普拉提魏巍&#10;复用5.9，开播时间19:00&#10;直播间ID：3660470078&#10;预约链接：https://s.xingqudao.net/SOYehleb"/>
    <hyperlink ref="C82" r:id="rId69" display="https://s.xingqudao.net/SOYehrPG"/>
    <hyperlink ref="D44" r:id="rId70" display="https://t1.nicegoods.cn/financial/experience-plan-sku?launchId=129361506776&amp;wcl=210500_14233692_financing"/>
    <hyperlink ref="D64" r:id="rId71" display="https://t1.nicegoods.cn/financial/experience-plan-sku?launchId=129791101491&amp;wcl=210500_14233942_financing"/>
    <hyperlink ref="E57" r:id="rId72" display="https://s.xingqudao.net/SOYeg1Ua"/>
    <hyperlink ref="F82" r:id="rId73" display="https://t1.nicegoods.cn/financial/experience-plan-sku?launchId=130089008084&amp;wcl=210500_14235121_financing"/>
    <hyperlink ref="E71" r:id="rId74" display="https://s.xingqudao.net/SOYehi4v"/>
    <hyperlink ref="C86" r:id="rId75" display="https://s.xingqudao.net/SOYeiLGI"/>
    <hyperlink ref="D53" r:id="rId76" display="https://t1.nicegoods.cn/financial/experience-plan-sku?launchId=129361105896&amp;wcl=210500_14233697_financing"/>
    <hyperlink ref="D33" r:id="rId77" display="https://t1.nicegoods.cn/financial/experience-plan-sku?launchId=129344398905&amp;wcl=210500_14233681_financing"/>
    <hyperlink ref="E44" r:id="rId78" display="https://s.xingqudao.net/SOYeg1UV"/>
    <hyperlink ref="D51" r:id="rId79" display="https://t1.nicegoods.cn/financial/experience-plan-sku?launchId=129361105896"/>
    <hyperlink ref="I20" r:id="rId80" display="摄影美学-段晓晖单人&#10;复用4.14日段&#10;直播间ID：3660470009&#10;预约链接：https://s.xingqudao.net/SOYehlLK"/>
    <hyperlink ref="D34" r:id="rId81" display="https://t1.nicegoods.cn/financial/experience-plan-sku?launchId=129344398905&amp;wcl=210500_14233682_financing"/>
    <hyperlink ref="D73" r:id="rId82" display="https://t1.nicegoods.cn/financial/experience-plan-sku?launchId=129970161032&amp;wcl=210500_14234216_financing"/>
    <hyperlink ref="E62" r:id="rId83" display="https://s.xingqudao.net/SOYeh42b"/>
    <hyperlink ref="E35" r:id="rId84" display="https://s.xingqudao.net/SOYeiOnT"/>
    <hyperlink ref="E45" r:id="rId85" display="https://s.xingqudao.net/SOYeg1UX"/>
    <hyperlink ref="F20" r:id="rId86" display="伪直播复用5.7&#10;古法居家姚国诚&#10;直播间ID：3660469951&#10;预约链接：https://s.xingqudao.net/SOYehkkJ"/>
    <hyperlink ref="D65" r:id="rId87" display="https://t1.nicegoods.cn/financial/experience-plan-sku?launchId=129791101605&amp;wcl=210500_14233943_financing"/>
    <hyperlink ref="D74" r:id="rId88" display="https://t1.nicegoods.cn/financial/experience-plan-sku?launchId=129970161052&amp;wcl=210500_14234217_financing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8800"/>
    <outlinePr summaryBelow="0" summaryRight="0"/>
  </sheetPr>
  <dimension ref="A1:L28"/>
  <sheetViews>
    <sheetView workbookViewId="0">
      <selection activeCell="A1" sqref="A1:L1"/>
    </sheetView>
  </sheetViews>
  <sheetFormatPr defaultColWidth="14" defaultRowHeight="15.2"/>
  <cols>
    <col min="5" max="5" width="30" customWidth="1"/>
    <col min="7" max="7" width="32" customWidth="1"/>
    <col min="9" max="9" width="32" customWidth="1"/>
    <col min="11" max="11" width="26" customWidth="1"/>
  </cols>
  <sheetData>
    <row r="1" ht="26" spans="1:12">
      <c r="A1" s="193" t="s">
        <v>339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</row>
    <row r="2" ht="17.6" spans="1:12">
      <c r="A2" s="194" t="s">
        <v>1</v>
      </c>
      <c r="B2" s="194"/>
      <c r="C2" s="195" t="s">
        <v>2</v>
      </c>
      <c r="D2" s="195"/>
      <c r="E2" s="195"/>
      <c r="F2" s="195"/>
      <c r="G2" s="195" t="s">
        <v>3</v>
      </c>
      <c r="H2" s="195"/>
      <c r="I2" s="195"/>
      <c r="J2" s="195"/>
      <c r="K2" s="195"/>
      <c r="L2" s="195"/>
    </row>
    <row r="3" ht="36" spans="1:12">
      <c r="A3" s="196" t="s">
        <v>4</v>
      </c>
      <c r="B3" s="196" t="s">
        <v>5</v>
      </c>
      <c r="C3" s="196" t="s">
        <v>6</v>
      </c>
      <c r="D3" s="197" t="s">
        <v>7</v>
      </c>
      <c r="E3" s="198" t="s">
        <v>7</v>
      </c>
      <c r="F3" s="198" t="s">
        <v>8</v>
      </c>
      <c r="G3" s="198" t="s">
        <v>7</v>
      </c>
      <c r="H3" s="198" t="s">
        <v>8</v>
      </c>
      <c r="I3" s="198" t="s">
        <v>7</v>
      </c>
      <c r="J3" s="198" t="s">
        <v>8</v>
      </c>
      <c r="K3" s="198" t="s">
        <v>7</v>
      </c>
      <c r="L3" s="198" t="s">
        <v>8</v>
      </c>
    </row>
    <row r="4" ht="16" spans="1:12">
      <c r="A4" s="199" t="s">
        <v>9</v>
      </c>
      <c r="B4" s="199" t="s">
        <v>10</v>
      </c>
      <c r="C4" s="200">
        <v>234085</v>
      </c>
      <c r="D4" s="200" t="s">
        <v>340</v>
      </c>
      <c r="E4" s="64" t="s">
        <v>341</v>
      </c>
      <c r="F4" s="201">
        <v>57549</v>
      </c>
      <c r="G4" s="64" t="s">
        <v>342</v>
      </c>
      <c r="H4" s="201">
        <v>24285</v>
      </c>
      <c r="I4" s="200" t="s">
        <v>343</v>
      </c>
      <c r="J4" s="201">
        <v>46639</v>
      </c>
      <c r="K4" s="64" t="s">
        <v>344</v>
      </c>
      <c r="L4" s="201">
        <f>C4-F4-H4-J4</f>
        <v>105612</v>
      </c>
    </row>
    <row r="5" ht="31" spans="1:12">
      <c r="A5" s="199" t="s">
        <v>9</v>
      </c>
      <c r="B5" s="199" t="s">
        <v>16</v>
      </c>
      <c r="C5" s="202">
        <f>87554-9583</f>
        <v>77971</v>
      </c>
      <c r="D5" s="202" t="s">
        <v>11</v>
      </c>
      <c r="E5" s="203" t="s">
        <v>12</v>
      </c>
      <c r="F5" s="204">
        <f>9483-27</f>
        <v>9456</v>
      </c>
      <c r="G5" s="203" t="s">
        <v>13</v>
      </c>
      <c r="H5" s="204">
        <f>27453-5540</f>
        <v>21913</v>
      </c>
      <c r="I5" s="202" t="s">
        <v>14</v>
      </c>
      <c r="J5" s="204">
        <f>9383-4016</f>
        <v>5367</v>
      </c>
      <c r="K5" s="203" t="s">
        <v>15</v>
      </c>
      <c r="L5" s="204">
        <f>C5-F5-H5-J5</f>
        <v>41235</v>
      </c>
    </row>
    <row r="6" ht="16" spans="1:12">
      <c r="A6" s="199" t="s">
        <v>9</v>
      </c>
      <c r="B6" s="200" t="s">
        <v>22</v>
      </c>
      <c r="C6" s="202">
        <v>121085</v>
      </c>
      <c r="D6" s="202" t="s">
        <v>11</v>
      </c>
      <c r="E6" s="203" t="s">
        <v>12</v>
      </c>
      <c r="F6" s="204">
        <v>15882</v>
      </c>
      <c r="G6" s="203" t="s">
        <v>13</v>
      </c>
      <c r="H6" s="204">
        <v>37868</v>
      </c>
      <c r="I6" s="202" t="s">
        <v>14</v>
      </c>
      <c r="J6" s="204">
        <v>11993</v>
      </c>
      <c r="K6" s="203" t="s">
        <v>15</v>
      </c>
      <c r="L6" s="204">
        <f>C6-F6-H5-J6</f>
        <v>71297</v>
      </c>
    </row>
    <row r="7" ht="16" spans="1:12">
      <c r="A7" s="199" t="s">
        <v>9</v>
      </c>
      <c r="B7" s="200" t="s">
        <v>23</v>
      </c>
      <c r="C7" s="200">
        <v>229443</v>
      </c>
      <c r="D7" s="200" t="s">
        <v>340</v>
      </c>
      <c r="E7" s="64" t="s">
        <v>341</v>
      </c>
      <c r="F7" s="201">
        <v>43645</v>
      </c>
      <c r="G7" s="64" t="s">
        <v>342</v>
      </c>
      <c r="H7" s="201">
        <v>41699</v>
      </c>
      <c r="I7" s="200" t="s">
        <v>343</v>
      </c>
      <c r="J7" s="201">
        <v>36735</v>
      </c>
      <c r="K7" s="64" t="s">
        <v>344</v>
      </c>
      <c r="L7" s="201">
        <f>C7-F7-H7-J7</f>
        <v>107364</v>
      </c>
    </row>
    <row r="8" ht="16" spans="1:12">
      <c r="A8" s="199" t="s">
        <v>9</v>
      </c>
      <c r="B8" s="199" t="s">
        <v>24</v>
      </c>
      <c r="C8" s="200">
        <v>182773</v>
      </c>
      <c r="D8" s="200" t="s">
        <v>340</v>
      </c>
      <c r="E8" s="64" t="s">
        <v>341</v>
      </c>
      <c r="F8" s="201">
        <v>83321</v>
      </c>
      <c r="G8" s="64" t="s">
        <v>342</v>
      </c>
      <c r="H8" s="201">
        <v>10619</v>
      </c>
      <c r="I8" s="200" t="s">
        <v>343</v>
      </c>
      <c r="J8" s="201">
        <v>22526</v>
      </c>
      <c r="K8" s="64" t="s">
        <v>344</v>
      </c>
      <c r="L8" s="201">
        <f>C9-F8-H8-J8</f>
        <v>44502</v>
      </c>
    </row>
    <row r="9" ht="16" spans="1:12">
      <c r="A9" s="199" t="s">
        <v>9</v>
      </c>
      <c r="B9" s="199" t="s">
        <v>25</v>
      </c>
      <c r="C9" s="200">
        <v>160968</v>
      </c>
      <c r="D9" s="200" t="s">
        <v>340</v>
      </c>
      <c r="E9" s="64" t="s">
        <v>341</v>
      </c>
      <c r="F9" s="201">
        <v>36085</v>
      </c>
      <c r="G9" s="64" t="s">
        <v>342</v>
      </c>
      <c r="H9" s="201">
        <v>6351</v>
      </c>
      <c r="I9" s="200" t="s">
        <v>343</v>
      </c>
      <c r="J9" s="201">
        <v>32262</v>
      </c>
      <c r="K9" s="64" t="s">
        <v>344</v>
      </c>
      <c r="L9" s="201">
        <f>C9-F9-H9-J9</f>
        <v>86270</v>
      </c>
    </row>
    <row r="10" ht="16" spans="1:12">
      <c r="A10" s="199" t="s">
        <v>9</v>
      </c>
      <c r="B10" s="199" t="s">
        <v>26</v>
      </c>
      <c r="C10" s="200">
        <v>348560</v>
      </c>
      <c r="D10" s="200" t="s">
        <v>340</v>
      </c>
      <c r="E10" s="64" t="s">
        <v>341</v>
      </c>
      <c r="F10" s="201">
        <v>53556</v>
      </c>
      <c r="G10" s="64" t="s">
        <v>342</v>
      </c>
      <c r="H10" s="201">
        <v>28125</v>
      </c>
      <c r="I10" s="200" t="s">
        <v>343</v>
      </c>
      <c r="J10" s="201">
        <v>92990</v>
      </c>
      <c r="K10" s="64" t="s">
        <v>344</v>
      </c>
      <c r="L10" s="201">
        <f>C10-F10-H10-J10</f>
        <v>173889</v>
      </c>
    </row>
    <row r="11" ht="16" spans="1:12">
      <c r="A11" s="199" t="s">
        <v>9</v>
      </c>
      <c r="B11" s="199" t="s">
        <v>27</v>
      </c>
      <c r="C11" s="200">
        <v>113349</v>
      </c>
      <c r="D11" s="200" t="s">
        <v>340</v>
      </c>
      <c r="E11" s="64" t="s">
        <v>341</v>
      </c>
      <c r="F11" s="201">
        <v>37091</v>
      </c>
      <c r="G11" s="64" t="s">
        <v>342</v>
      </c>
      <c r="H11" s="201">
        <v>13750</v>
      </c>
      <c r="I11" s="200" t="s">
        <v>343</v>
      </c>
      <c r="J11" s="201">
        <v>19510</v>
      </c>
      <c r="K11" s="64" t="s">
        <v>344</v>
      </c>
      <c r="L11" s="201">
        <f>C11-F11-H11-J11</f>
        <v>42998</v>
      </c>
    </row>
    <row r="12" ht="16" spans="1:12">
      <c r="A12" s="199" t="s">
        <v>9</v>
      </c>
      <c r="B12" s="200" t="s">
        <v>28</v>
      </c>
      <c r="C12" s="200">
        <v>18353</v>
      </c>
      <c r="D12" s="200" t="s">
        <v>11</v>
      </c>
      <c r="E12" s="64" t="s">
        <v>345</v>
      </c>
      <c r="F12" s="201">
        <v>18353</v>
      </c>
      <c r="G12" s="64"/>
      <c r="H12" s="200"/>
      <c r="I12" s="200"/>
      <c r="J12" s="200"/>
      <c r="K12" s="64"/>
      <c r="L12" s="200"/>
    </row>
    <row r="13" ht="16" spans="1:12">
      <c r="A13" s="199" t="s">
        <v>29</v>
      </c>
      <c r="B13" s="200" t="s">
        <v>30</v>
      </c>
      <c r="C13" s="200">
        <v>49193</v>
      </c>
      <c r="D13" s="200" t="s">
        <v>340</v>
      </c>
      <c r="E13" s="64" t="s">
        <v>341</v>
      </c>
      <c r="F13" s="201">
        <v>7814</v>
      </c>
      <c r="G13" s="64" t="s">
        <v>342</v>
      </c>
      <c r="H13" s="201">
        <v>1057</v>
      </c>
      <c r="I13" s="200" t="s">
        <v>343</v>
      </c>
      <c r="J13" s="201">
        <v>2658</v>
      </c>
      <c r="K13" s="64" t="s">
        <v>344</v>
      </c>
      <c r="L13" s="201">
        <f t="shared" ref="L13:L21" si="0">C13-F13-H13-J13</f>
        <v>37664</v>
      </c>
    </row>
    <row r="14" ht="16" spans="1:12">
      <c r="A14" s="199" t="s">
        <v>29</v>
      </c>
      <c r="B14" s="200" t="s">
        <v>31</v>
      </c>
      <c r="C14" s="200">
        <v>228020</v>
      </c>
      <c r="D14" s="200" t="s">
        <v>340</v>
      </c>
      <c r="E14" s="64" t="s">
        <v>341</v>
      </c>
      <c r="F14" s="201">
        <v>75371</v>
      </c>
      <c r="G14" s="64" t="s">
        <v>342</v>
      </c>
      <c r="H14" s="201">
        <v>26301</v>
      </c>
      <c r="I14" s="200" t="s">
        <v>343</v>
      </c>
      <c r="J14" s="201">
        <v>34757</v>
      </c>
      <c r="K14" s="64" t="s">
        <v>344</v>
      </c>
      <c r="L14" s="201">
        <f t="shared" si="0"/>
        <v>91591</v>
      </c>
    </row>
    <row r="15" ht="16" spans="1:12">
      <c r="A15" s="199" t="s">
        <v>29</v>
      </c>
      <c r="B15" s="200" t="s">
        <v>32</v>
      </c>
      <c r="C15" s="200">
        <v>300274</v>
      </c>
      <c r="D15" s="200" t="s">
        <v>340</v>
      </c>
      <c r="E15" s="64" t="s">
        <v>341</v>
      </c>
      <c r="F15" s="201">
        <v>116940</v>
      </c>
      <c r="G15" s="64" t="s">
        <v>342</v>
      </c>
      <c r="H15" s="201">
        <v>31769</v>
      </c>
      <c r="I15" s="200" t="s">
        <v>343</v>
      </c>
      <c r="J15" s="201">
        <v>57748</v>
      </c>
      <c r="K15" s="64" t="s">
        <v>344</v>
      </c>
      <c r="L15" s="201">
        <f t="shared" si="0"/>
        <v>93817</v>
      </c>
    </row>
    <row r="16" ht="16" spans="1:12">
      <c r="A16" s="199" t="s">
        <v>29</v>
      </c>
      <c r="B16" s="200" t="s">
        <v>33</v>
      </c>
      <c r="C16" s="200">
        <v>718442</v>
      </c>
      <c r="D16" s="200" t="s">
        <v>340</v>
      </c>
      <c r="E16" s="64" t="s">
        <v>341</v>
      </c>
      <c r="F16" s="201">
        <v>200786</v>
      </c>
      <c r="G16" s="64" t="s">
        <v>342</v>
      </c>
      <c r="H16" s="201">
        <v>81236</v>
      </c>
      <c r="I16" s="200" t="s">
        <v>343</v>
      </c>
      <c r="J16" s="231">
        <v>168267</v>
      </c>
      <c r="K16" s="64" t="s">
        <v>344</v>
      </c>
      <c r="L16" s="201">
        <f t="shared" si="0"/>
        <v>268153</v>
      </c>
    </row>
    <row r="17" ht="16" spans="1:12">
      <c r="A17" s="199" t="s">
        <v>29</v>
      </c>
      <c r="B17" s="200" t="s">
        <v>34</v>
      </c>
      <c r="C17" s="200">
        <v>126694</v>
      </c>
      <c r="D17" s="200" t="s">
        <v>340</v>
      </c>
      <c r="E17" s="64" t="s">
        <v>341</v>
      </c>
      <c r="F17" s="201">
        <v>12764</v>
      </c>
      <c r="G17" s="64" t="s">
        <v>342</v>
      </c>
      <c r="H17" s="201">
        <v>6991</v>
      </c>
      <c r="I17" s="200" t="s">
        <v>343</v>
      </c>
      <c r="J17" s="201">
        <v>30980</v>
      </c>
      <c r="K17" s="64" t="s">
        <v>344</v>
      </c>
      <c r="L17" s="201">
        <f t="shared" si="0"/>
        <v>75959</v>
      </c>
    </row>
    <row r="18" ht="16" spans="1:12">
      <c r="A18" s="199" t="s">
        <v>29</v>
      </c>
      <c r="B18" s="200" t="s">
        <v>35</v>
      </c>
      <c r="C18" s="200">
        <v>198562</v>
      </c>
      <c r="D18" s="200" t="s">
        <v>340</v>
      </c>
      <c r="E18" s="64" t="s">
        <v>341</v>
      </c>
      <c r="F18" s="201">
        <v>57931</v>
      </c>
      <c r="G18" s="64" t="s">
        <v>342</v>
      </c>
      <c r="H18" s="201">
        <v>21796</v>
      </c>
      <c r="I18" s="200" t="s">
        <v>343</v>
      </c>
      <c r="J18" s="201">
        <v>38514</v>
      </c>
      <c r="K18" s="64" t="s">
        <v>344</v>
      </c>
      <c r="L18" s="201">
        <f t="shared" si="0"/>
        <v>80321</v>
      </c>
    </row>
    <row r="19" ht="16" spans="1:12">
      <c r="A19" s="199" t="s">
        <v>29</v>
      </c>
      <c r="B19" s="200" t="s">
        <v>36</v>
      </c>
      <c r="C19" s="200">
        <v>63573</v>
      </c>
      <c r="D19" s="200" t="s">
        <v>340</v>
      </c>
      <c r="E19" s="64" t="s">
        <v>341</v>
      </c>
      <c r="F19" s="201">
        <v>515</v>
      </c>
      <c r="G19" s="64" t="s">
        <v>342</v>
      </c>
      <c r="H19" s="201">
        <v>3696</v>
      </c>
      <c r="I19" s="200" t="s">
        <v>343</v>
      </c>
      <c r="J19" s="201">
        <v>9115</v>
      </c>
      <c r="K19" s="64" t="s">
        <v>344</v>
      </c>
      <c r="L19" s="201">
        <f t="shared" si="0"/>
        <v>50247</v>
      </c>
    </row>
    <row r="20" ht="16" spans="1:12">
      <c r="A20" s="199" t="s">
        <v>29</v>
      </c>
      <c r="B20" s="200" t="s">
        <v>37</v>
      </c>
      <c r="C20" s="200">
        <v>102746</v>
      </c>
      <c r="D20" s="200" t="s">
        <v>340</v>
      </c>
      <c r="E20" s="64" t="s">
        <v>341</v>
      </c>
      <c r="F20" s="201">
        <v>35283</v>
      </c>
      <c r="G20" s="64" t="s">
        <v>342</v>
      </c>
      <c r="H20" s="201">
        <v>18681</v>
      </c>
      <c r="I20" s="200" t="s">
        <v>343</v>
      </c>
      <c r="J20" s="201">
        <v>36202</v>
      </c>
      <c r="K20" s="64" t="s">
        <v>344</v>
      </c>
      <c r="L20" s="201">
        <f t="shared" si="0"/>
        <v>12580</v>
      </c>
    </row>
    <row r="21" ht="16" spans="1:12">
      <c r="A21" s="199" t="s">
        <v>29</v>
      </c>
      <c r="B21" s="200" t="s">
        <v>38</v>
      </c>
      <c r="C21" s="200">
        <v>257584</v>
      </c>
      <c r="D21" s="200" t="s">
        <v>340</v>
      </c>
      <c r="E21" s="64" t="s">
        <v>341</v>
      </c>
      <c r="F21" s="201">
        <v>46151</v>
      </c>
      <c r="G21" s="64" t="s">
        <v>342</v>
      </c>
      <c r="H21" s="201">
        <v>28660</v>
      </c>
      <c r="I21" s="200" t="s">
        <v>343</v>
      </c>
      <c r="J21" s="201">
        <v>67545</v>
      </c>
      <c r="K21" s="64" t="s">
        <v>344</v>
      </c>
      <c r="L21" s="201">
        <f t="shared" si="0"/>
        <v>115228</v>
      </c>
    </row>
    <row r="22" ht="19" customHeight="1" spans="1:12">
      <c r="A22" s="199" t="s">
        <v>29</v>
      </c>
      <c r="B22" s="200" t="s">
        <v>346</v>
      </c>
      <c r="C22" s="200">
        <v>12525</v>
      </c>
      <c r="D22" s="200" t="s">
        <v>340</v>
      </c>
      <c r="E22" s="64" t="s">
        <v>345</v>
      </c>
      <c r="F22" s="201">
        <v>12525</v>
      </c>
      <c r="G22" s="64"/>
      <c r="H22" s="200"/>
      <c r="I22" s="200"/>
      <c r="J22" s="200"/>
      <c r="K22" s="64"/>
      <c r="L22" s="200"/>
    </row>
    <row r="23" ht="16" spans="1:12">
      <c r="A23" s="199" t="s">
        <v>41</v>
      </c>
      <c r="B23" s="200" t="s">
        <v>42</v>
      </c>
      <c r="C23" s="202">
        <v>137210</v>
      </c>
      <c r="D23" s="202" t="s">
        <v>11</v>
      </c>
      <c r="E23" s="203" t="s">
        <v>12</v>
      </c>
      <c r="F23" s="204">
        <v>33891</v>
      </c>
      <c r="G23" s="203" t="s">
        <v>13</v>
      </c>
      <c r="H23" s="204">
        <v>33909</v>
      </c>
      <c r="I23" s="202" t="s">
        <v>14</v>
      </c>
      <c r="J23" s="204">
        <v>19416</v>
      </c>
      <c r="K23" s="203" t="s">
        <v>15</v>
      </c>
      <c r="L23" s="204">
        <f>C23-F23-H23-J23</f>
        <v>49994</v>
      </c>
    </row>
    <row r="24" ht="16" spans="1:12">
      <c r="A24" s="199" t="s">
        <v>41</v>
      </c>
      <c r="B24" s="200" t="s">
        <v>43</v>
      </c>
      <c r="C24" s="200">
        <v>214566</v>
      </c>
      <c r="D24" s="200" t="s">
        <v>340</v>
      </c>
      <c r="E24" s="64" t="s">
        <v>341</v>
      </c>
      <c r="F24" s="201">
        <v>43853</v>
      </c>
      <c r="G24" s="64" t="s">
        <v>342</v>
      </c>
      <c r="H24" s="201">
        <v>71565</v>
      </c>
      <c r="I24" s="200" t="s">
        <v>343</v>
      </c>
      <c r="J24" s="201">
        <v>31248</v>
      </c>
      <c r="K24" s="64" t="s">
        <v>344</v>
      </c>
      <c r="L24" s="201">
        <f>C24-F24-H24-J24</f>
        <v>67900</v>
      </c>
    </row>
    <row r="25" ht="16" spans="1:12">
      <c r="A25" s="199" t="s">
        <v>41</v>
      </c>
      <c r="B25" s="200" t="s">
        <v>44</v>
      </c>
      <c r="C25" s="200">
        <v>461509</v>
      </c>
      <c r="D25" s="200" t="s">
        <v>340</v>
      </c>
      <c r="E25" s="64" t="s">
        <v>341</v>
      </c>
      <c r="F25" s="201">
        <v>130710</v>
      </c>
      <c r="G25" s="64" t="s">
        <v>342</v>
      </c>
      <c r="H25" s="201">
        <v>85478</v>
      </c>
      <c r="I25" s="200" t="s">
        <v>343</v>
      </c>
      <c r="J25" s="201">
        <v>136666</v>
      </c>
      <c r="K25" s="64" t="s">
        <v>344</v>
      </c>
      <c r="L25" s="201">
        <f>C25-F25-H25-J25</f>
        <v>108655</v>
      </c>
    </row>
    <row r="26" ht="31" spans="1:12">
      <c r="A26" s="199" t="s">
        <v>41</v>
      </c>
      <c r="B26" s="199" t="s">
        <v>45</v>
      </c>
      <c r="C26" s="200">
        <v>240157</v>
      </c>
      <c r="D26" s="200" t="s">
        <v>340</v>
      </c>
      <c r="E26" s="64" t="s">
        <v>341</v>
      </c>
      <c r="F26" s="201">
        <v>96204</v>
      </c>
      <c r="G26" s="64" t="s">
        <v>342</v>
      </c>
      <c r="H26" s="201">
        <v>39437</v>
      </c>
      <c r="I26" s="200" t="s">
        <v>343</v>
      </c>
      <c r="J26" s="201">
        <v>53697</v>
      </c>
      <c r="K26" s="64" t="s">
        <v>344</v>
      </c>
      <c r="L26" s="201">
        <f>C26-F26-H26-J26</f>
        <v>50819</v>
      </c>
    </row>
    <row r="27" ht="16" spans="1:12">
      <c r="A27" s="199" t="s">
        <v>41</v>
      </c>
      <c r="B27" s="200" t="s">
        <v>46</v>
      </c>
      <c r="C27" s="200">
        <v>25283</v>
      </c>
      <c r="D27" s="200" t="s">
        <v>11</v>
      </c>
      <c r="E27" s="64" t="s">
        <v>345</v>
      </c>
      <c r="F27" s="201">
        <v>25283</v>
      </c>
      <c r="G27" s="64"/>
      <c r="H27" s="64"/>
      <c r="I27" s="64"/>
      <c r="J27" s="64"/>
      <c r="K27" s="64"/>
      <c r="L27" s="64"/>
    </row>
    <row r="28" ht="16" spans="1:12">
      <c r="A28" s="199" t="s">
        <v>41</v>
      </c>
      <c r="B28" s="200" t="s">
        <v>47</v>
      </c>
      <c r="C28" s="200">
        <v>11575</v>
      </c>
      <c r="D28" s="200" t="s">
        <v>11</v>
      </c>
      <c r="E28" s="64" t="s">
        <v>345</v>
      </c>
      <c r="F28" s="201">
        <v>11575</v>
      </c>
      <c r="G28" s="64"/>
      <c r="H28" s="64"/>
      <c r="I28" s="64"/>
      <c r="J28" s="64"/>
      <c r="K28" s="64"/>
      <c r="L28" s="64"/>
    </row>
  </sheetData>
  <mergeCells count="4">
    <mergeCell ref="A1:L1"/>
    <mergeCell ref="A2:B2"/>
    <mergeCell ref="C2:D2"/>
    <mergeCell ref="G2:L2"/>
  </mergeCells>
  <dataValidations count="1">
    <dataValidation type="list" allowBlank="1" showErrorMessage="1" sqref="A4:A28">
      <formula1>"变美,健康,兴趣"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8800"/>
    <outlinePr summaryBelow="0" summaryRight="0"/>
  </sheetPr>
  <dimension ref="A1:L28"/>
  <sheetViews>
    <sheetView workbookViewId="0">
      <selection activeCell="A1" sqref="A1:L1"/>
    </sheetView>
  </sheetViews>
  <sheetFormatPr defaultColWidth="14" defaultRowHeight="15.2"/>
  <cols>
    <col min="1" max="1" width="9" customWidth="1"/>
    <col min="2" max="2" width="18" customWidth="1"/>
    <col min="3" max="3" width="16" customWidth="1"/>
    <col min="4" max="4" width="8" customWidth="1"/>
    <col min="5" max="5" width="27" customWidth="1"/>
    <col min="6" max="6" width="7" customWidth="1"/>
    <col min="7" max="7" width="28" customWidth="1"/>
    <col min="8" max="8" width="6" customWidth="1"/>
    <col min="9" max="9" width="28" customWidth="1"/>
    <col min="10" max="10" width="7" customWidth="1"/>
    <col min="11" max="11" width="23" customWidth="1"/>
    <col min="12" max="12" width="7" customWidth="1"/>
  </cols>
  <sheetData>
    <row r="1" ht="26" spans="1:12">
      <c r="A1" s="193" t="s">
        <v>347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</row>
    <row r="2" ht="17.6" spans="1:12">
      <c r="A2" s="194" t="s">
        <v>1</v>
      </c>
      <c r="B2" s="194"/>
      <c r="C2" s="195" t="s">
        <v>2</v>
      </c>
      <c r="D2" s="195"/>
      <c r="E2" s="195"/>
      <c r="F2" s="195"/>
      <c r="G2" s="195" t="s">
        <v>3</v>
      </c>
      <c r="H2" s="195"/>
      <c r="I2" s="195"/>
      <c r="J2" s="195"/>
      <c r="K2" s="195"/>
      <c r="L2" s="195"/>
    </row>
    <row r="3" ht="36" spans="1:12">
      <c r="A3" s="196" t="s">
        <v>4</v>
      </c>
      <c r="B3" s="196" t="s">
        <v>5</v>
      </c>
      <c r="C3" s="196" t="s">
        <v>6</v>
      </c>
      <c r="D3" s="197" t="s">
        <v>7</v>
      </c>
      <c r="E3" s="198" t="s">
        <v>7</v>
      </c>
      <c r="F3" s="198" t="s">
        <v>8</v>
      </c>
      <c r="G3" s="198" t="s">
        <v>7</v>
      </c>
      <c r="H3" s="198" t="s">
        <v>8</v>
      </c>
      <c r="I3" s="198" t="s">
        <v>7</v>
      </c>
      <c r="J3" s="198" t="s">
        <v>8</v>
      </c>
      <c r="K3" s="198" t="s">
        <v>7</v>
      </c>
      <c r="L3" s="198" t="s">
        <v>8</v>
      </c>
    </row>
    <row r="4" ht="16" spans="1:12">
      <c r="A4" s="199" t="s">
        <v>9</v>
      </c>
      <c r="B4" s="199" t="s">
        <v>10</v>
      </c>
      <c r="C4" s="200">
        <v>236660</v>
      </c>
      <c r="D4" s="200" t="s">
        <v>348</v>
      </c>
      <c r="E4" s="64" t="s">
        <v>349</v>
      </c>
      <c r="F4" s="205">
        <v>58268</v>
      </c>
      <c r="G4" s="64" t="s">
        <v>350</v>
      </c>
      <c r="H4" s="201">
        <v>21536</v>
      </c>
      <c r="I4" s="200" t="s">
        <v>351</v>
      </c>
      <c r="J4" s="201">
        <v>40715</v>
      </c>
      <c r="K4" s="64" t="s">
        <v>352</v>
      </c>
      <c r="L4" s="201">
        <f t="shared" ref="L4:L11" si="0">C4-F4-H4-J4</f>
        <v>116141</v>
      </c>
    </row>
    <row r="5" ht="31" spans="1:12">
      <c r="A5" s="199" t="s">
        <v>9</v>
      </c>
      <c r="B5" s="199" t="s">
        <v>16</v>
      </c>
      <c r="C5" s="204">
        <v>87654</v>
      </c>
      <c r="D5" s="202" t="s">
        <v>353</v>
      </c>
      <c r="E5" s="203" t="s">
        <v>354</v>
      </c>
      <c r="F5" s="230">
        <f>10290-30</f>
        <v>10260</v>
      </c>
      <c r="G5" s="203" t="s">
        <v>355</v>
      </c>
      <c r="H5" s="230">
        <f>26567-4294</f>
        <v>22273</v>
      </c>
      <c r="I5" s="202" t="s">
        <v>356</v>
      </c>
      <c r="J5" s="230">
        <f>8895-4995</f>
        <v>3900</v>
      </c>
      <c r="K5" s="203" t="s">
        <v>357</v>
      </c>
      <c r="L5" s="230">
        <f t="shared" si="0"/>
        <v>51221</v>
      </c>
    </row>
    <row r="6" ht="16" spans="1:12">
      <c r="A6" s="199" t="s">
        <v>9</v>
      </c>
      <c r="B6" s="200" t="s">
        <v>22</v>
      </c>
      <c r="C6" s="202">
        <v>121015</v>
      </c>
      <c r="D6" s="202" t="s">
        <v>353</v>
      </c>
      <c r="E6" s="203" t="s">
        <v>354</v>
      </c>
      <c r="F6" s="204">
        <v>16467</v>
      </c>
      <c r="G6" s="203" t="s">
        <v>355</v>
      </c>
      <c r="H6" s="204">
        <v>36140</v>
      </c>
      <c r="I6" s="202" t="s">
        <v>356</v>
      </c>
      <c r="J6" s="204">
        <v>12132</v>
      </c>
      <c r="K6" s="203" t="s">
        <v>357</v>
      </c>
      <c r="L6" s="204">
        <f t="shared" si="0"/>
        <v>56276</v>
      </c>
    </row>
    <row r="7" ht="16" spans="1:12">
      <c r="A7" s="199" t="s">
        <v>9</v>
      </c>
      <c r="B7" s="200" t="s">
        <v>23</v>
      </c>
      <c r="C7" s="200">
        <v>232026</v>
      </c>
      <c r="D7" s="200" t="s">
        <v>348</v>
      </c>
      <c r="E7" s="64" t="s">
        <v>349</v>
      </c>
      <c r="F7" s="205">
        <v>46124</v>
      </c>
      <c r="G7" s="64" t="s">
        <v>350</v>
      </c>
      <c r="H7" s="201">
        <v>40089</v>
      </c>
      <c r="I7" s="200" t="s">
        <v>351</v>
      </c>
      <c r="J7" s="201">
        <v>36000</v>
      </c>
      <c r="K7" s="64" t="s">
        <v>352</v>
      </c>
      <c r="L7" s="201">
        <f t="shared" si="0"/>
        <v>109813</v>
      </c>
    </row>
    <row r="8" ht="16" spans="1:12">
      <c r="A8" s="199" t="s">
        <v>9</v>
      </c>
      <c r="B8" s="199" t="s">
        <v>24</v>
      </c>
      <c r="C8" s="200">
        <v>178724</v>
      </c>
      <c r="D8" s="200" t="s">
        <v>348</v>
      </c>
      <c r="E8" s="64" t="s">
        <v>349</v>
      </c>
      <c r="F8" s="201">
        <v>80724</v>
      </c>
      <c r="G8" s="64" t="s">
        <v>350</v>
      </c>
      <c r="H8" s="201">
        <v>9674</v>
      </c>
      <c r="I8" s="200" t="s">
        <v>351</v>
      </c>
      <c r="J8" s="201">
        <v>20451</v>
      </c>
      <c r="K8" s="64" t="s">
        <v>352</v>
      </c>
      <c r="L8" s="201">
        <f t="shared" si="0"/>
        <v>67875</v>
      </c>
    </row>
    <row r="9" ht="16" spans="1:12">
      <c r="A9" s="199" t="s">
        <v>9</v>
      </c>
      <c r="B9" s="199" t="s">
        <v>25</v>
      </c>
      <c r="C9" s="200">
        <v>157776</v>
      </c>
      <c r="D9" s="200" t="s">
        <v>348</v>
      </c>
      <c r="E9" s="64" t="s">
        <v>349</v>
      </c>
      <c r="F9" s="201">
        <v>34256</v>
      </c>
      <c r="G9" s="64" t="s">
        <v>350</v>
      </c>
      <c r="H9" s="201">
        <v>5481</v>
      </c>
      <c r="I9" s="200" t="s">
        <v>351</v>
      </c>
      <c r="J9" s="201">
        <v>25815</v>
      </c>
      <c r="K9" s="64" t="s">
        <v>352</v>
      </c>
      <c r="L9" s="201">
        <f t="shared" si="0"/>
        <v>92224</v>
      </c>
    </row>
    <row r="10" ht="16" spans="1:12">
      <c r="A10" s="199" t="s">
        <v>9</v>
      </c>
      <c r="B10" s="199" t="s">
        <v>26</v>
      </c>
      <c r="C10" s="200">
        <v>344448</v>
      </c>
      <c r="D10" s="200" t="s">
        <v>348</v>
      </c>
      <c r="E10" s="64" t="s">
        <v>349</v>
      </c>
      <c r="F10" s="201">
        <v>51376</v>
      </c>
      <c r="G10" s="64" t="s">
        <v>350</v>
      </c>
      <c r="H10" s="201">
        <v>25588</v>
      </c>
      <c r="I10" s="200" t="s">
        <v>351</v>
      </c>
      <c r="J10" s="201">
        <v>76108</v>
      </c>
      <c r="K10" s="64" t="s">
        <v>352</v>
      </c>
      <c r="L10" s="201">
        <f t="shared" si="0"/>
        <v>191376</v>
      </c>
    </row>
    <row r="11" ht="16" spans="1:12">
      <c r="A11" s="199" t="s">
        <v>9</v>
      </c>
      <c r="B11" s="199" t="s">
        <v>27</v>
      </c>
      <c r="C11" s="200">
        <v>115564</v>
      </c>
      <c r="D11" s="200" t="s">
        <v>348</v>
      </c>
      <c r="E11" s="64" t="s">
        <v>349</v>
      </c>
      <c r="F11" s="201">
        <v>38196</v>
      </c>
      <c r="G11" s="64" t="s">
        <v>350</v>
      </c>
      <c r="H11" s="201">
        <v>13126</v>
      </c>
      <c r="I11" s="200" t="s">
        <v>351</v>
      </c>
      <c r="J11" s="201">
        <v>20567</v>
      </c>
      <c r="K11" s="64" t="s">
        <v>352</v>
      </c>
      <c r="L11" s="201">
        <f t="shared" si="0"/>
        <v>43675</v>
      </c>
    </row>
    <row r="12" ht="16" spans="1:12">
      <c r="A12" s="199" t="s">
        <v>9</v>
      </c>
      <c r="B12" s="200" t="s">
        <v>28</v>
      </c>
      <c r="C12" s="200">
        <v>21611</v>
      </c>
      <c r="D12" s="200" t="s">
        <v>348</v>
      </c>
      <c r="E12" s="64" t="s">
        <v>358</v>
      </c>
      <c r="F12" s="201">
        <v>21611</v>
      </c>
      <c r="G12" s="64"/>
      <c r="H12" s="200"/>
      <c r="I12" s="200"/>
      <c r="J12" s="200"/>
      <c r="K12" s="64"/>
      <c r="L12" s="200"/>
    </row>
    <row r="13" ht="16" spans="1:12">
      <c r="A13" s="199" t="s">
        <v>29</v>
      </c>
      <c r="B13" s="200" t="s">
        <v>30</v>
      </c>
      <c r="C13" s="200">
        <v>56207</v>
      </c>
      <c r="D13" s="200" t="s">
        <v>348</v>
      </c>
      <c r="E13" s="64" t="s">
        <v>349</v>
      </c>
      <c r="F13" s="201">
        <v>7596</v>
      </c>
      <c r="G13" s="64" t="s">
        <v>350</v>
      </c>
      <c r="H13" s="201">
        <v>993</v>
      </c>
      <c r="I13" s="200" t="s">
        <v>351</v>
      </c>
      <c r="J13" s="201">
        <v>2605</v>
      </c>
      <c r="K13" s="64" t="s">
        <v>352</v>
      </c>
      <c r="L13" s="201">
        <f t="shared" ref="L13:L26" si="1">C13-F13-H13-J13</f>
        <v>45013</v>
      </c>
    </row>
    <row r="14" ht="16" spans="1:12">
      <c r="A14" s="199" t="s">
        <v>29</v>
      </c>
      <c r="B14" s="200" t="s">
        <v>31</v>
      </c>
      <c r="C14" s="200">
        <v>262617</v>
      </c>
      <c r="D14" s="200" t="s">
        <v>348</v>
      </c>
      <c r="E14" s="64" t="s">
        <v>349</v>
      </c>
      <c r="F14" s="201">
        <v>104020</v>
      </c>
      <c r="G14" s="64" t="s">
        <v>350</v>
      </c>
      <c r="H14" s="201">
        <v>27018</v>
      </c>
      <c r="I14" s="200" t="s">
        <v>351</v>
      </c>
      <c r="J14" s="201">
        <v>36479</v>
      </c>
      <c r="K14" s="64" t="s">
        <v>352</v>
      </c>
      <c r="L14" s="201">
        <f t="shared" si="1"/>
        <v>95100</v>
      </c>
    </row>
    <row r="15" ht="16" spans="1:12">
      <c r="A15" s="199" t="s">
        <v>29</v>
      </c>
      <c r="B15" s="200" t="s">
        <v>32</v>
      </c>
      <c r="C15" s="200">
        <v>303900</v>
      </c>
      <c r="D15" s="200" t="s">
        <v>348</v>
      </c>
      <c r="E15" s="64" t="s">
        <v>349</v>
      </c>
      <c r="F15" s="201">
        <v>113197</v>
      </c>
      <c r="G15" s="64" t="s">
        <v>350</v>
      </c>
      <c r="H15" s="201">
        <v>32222</v>
      </c>
      <c r="I15" s="200" t="s">
        <v>351</v>
      </c>
      <c r="J15" s="201">
        <v>58280</v>
      </c>
      <c r="K15" s="64" t="s">
        <v>352</v>
      </c>
      <c r="L15" s="201">
        <f t="shared" si="1"/>
        <v>100201</v>
      </c>
    </row>
    <row r="16" ht="16" spans="1:12">
      <c r="A16" s="199" t="s">
        <v>29</v>
      </c>
      <c r="B16" s="200" t="s">
        <v>33</v>
      </c>
      <c r="C16" s="200">
        <v>726812</v>
      </c>
      <c r="D16" s="200" t="s">
        <v>348</v>
      </c>
      <c r="E16" s="64" t="s">
        <v>349</v>
      </c>
      <c r="F16" s="201">
        <v>191599</v>
      </c>
      <c r="G16" s="64" t="s">
        <v>350</v>
      </c>
      <c r="H16" s="201">
        <v>86234</v>
      </c>
      <c r="I16" s="200" t="s">
        <v>351</v>
      </c>
      <c r="J16" s="201">
        <v>164204</v>
      </c>
      <c r="K16" s="64" t="s">
        <v>352</v>
      </c>
      <c r="L16" s="201">
        <f t="shared" si="1"/>
        <v>284775</v>
      </c>
    </row>
    <row r="17" ht="16" spans="1:12">
      <c r="A17" s="199" t="s">
        <v>29</v>
      </c>
      <c r="B17" s="200" t="s">
        <v>34</v>
      </c>
      <c r="C17" s="200">
        <v>126684</v>
      </c>
      <c r="D17" s="200" t="s">
        <v>348</v>
      </c>
      <c r="E17" s="64" t="s">
        <v>349</v>
      </c>
      <c r="F17" s="201">
        <v>10915</v>
      </c>
      <c r="G17" s="64" t="s">
        <v>350</v>
      </c>
      <c r="H17" s="201">
        <v>7671</v>
      </c>
      <c r="I17" s="200" t="s">
        <v>351</v>
      </c>
      <c r="J17" s="201">
        <v>26903</v>
      </c>
      <c r="K17" s="64" t="s">
        <v>352</v>
      </c>
      <c r="L17" s="201">
        <f t="shared" si="1"/>
        <v>81195</v>
      </c>
    </row>
    <row r="18" ht="16" spans="1:12">
      <c r="A18" s="199" t="s">
        <v>29</v>
      </c>
      <c r="B18" s="200" t="s">
        <v>35</v>
      </c>
      <c r="C18" s="200">
        <v>204453</v>
      </c>
      <c r="D18" s="200" t="s">
        <v>348</v>
      </c>
      <c r="E18" s="64" t="s">
        <v>349</v>
      </c>
      <c r="F18" s="201">
        <v>57917</v>
      </c>
      <c r="G18" s="64" t="s">
        <v>350</v>
      </c>
      <c r="H18" s="201">
        <v>23195</v>
      </c>
      <c r="I18" s="200" t="s">
        <v>351</v>
      </c>
      <c r="J18" s="201">
        <v>32418</v>
      </c>
      <c r="K18" s="64" t="s">
        <v>352</v>
      </c>
      <c r="L18" s="201">
        <f t="shared" si="1"/>
        <v>90923</v>
      </c>
    </row>
    <row r="19" ht="16" spans="1:12">
      <c r="A19" s="199" t="s">
        <v>29</v>
      </c>
      <c r="B19" s="200" t="s">
        <v>36</v>
      </c>
      <c r="C19" s="200">
        <v>62808</v>
      </c>
      <c r="D19" s="200" t="s">
        <v>348</v>
      </c>
      <c r="E19" s="64" t="s">
        <v>349</v>
      </c>
      <c r="F19" s="201">
        <v>27</v>
      </c>
      <c r="G19" s="64" t="s">
        <v>350</v>
      </c>
      <c r="H19" s="201">
        <v>3518</v>
      </c>
      <c r="I19" s="200" t="s">
        <v>351</v>
      </c>
      <c r="J19" s="201">
        <v>7091</v>
      </c>
      <c r="K19" s="64" t="s">
        <v>352</v>
      </c>
      <c r="L19" s="201">
        <f t="shared" si="1"/>
        <v>52172</v>
      </c>
    </row>
    <row r="20" ht="16" spans="1:12">
      <c r="A20" s="199" t="s">
        <v>29</v>
      </c>
      <c r="B20" s="200" t="s">
        <v>37</v>
      </c>
      <c r="C20" s="200">
        <v>104685</v>
      </c>
      <c r="D20" s="200" t="s">
        <v>348</v>
      </c>
      <c r="E20" s="64" t="s">
        <v>349</v>
      </c>
      <c r="F20" s="201">
        <v>34115</v>
      </c>
      <c r="G20" s="64" t="s">
        <v>350</v>
      </c>
      <c r="H20" s="201">
        <v>17704</v>
      </c>
      <c r="I20" s="200" t="s">
        <v>351</v>
      </c>
      <c r="J20" s="201">
        <v>33538</v>
      </c>
      <c r="K20" s="64" t="s">
        <v>352</v>
      </c>
      <c r="L20" s="201">
        <f t="shared" si="1"/>
        <v>19328</v>
      </c>
    </row>
    <row r="21" ht="16" spans="1:12">
      <c r="A21" s="199" t="s">
        <v>29</v>
      </c>
      <c r="B21" s="200" t="s">
        <v>38</v>
      </c>
      <c r="C21" s="200">
        <v>247840</v>
      </c>
      <c r="D21" s="200" t="s">
        <v>348</v>
      </c>
      <c r="E21" s="64" t="s">
        <v>349</v>
      </c>
      <c r="F21" s="201">
        <v>44483</v>
      </c>
      <c r="G21" s="64" t="s">
        <v>350</v>
      </c>
      <c r="H21" s="201">
        <v>26146</v>
      </c>
      <c r="I21" s="200" t="s">
        <v>351</v>
      </c>
      <c r="J21" s="201">
        <v>58989</v>
      </c>
      <c r="K21" s="64" t="s">
        <v>352</v>
      </c>
      <c r="L21" s="201">
        <f t="shared" si="1"/>
        <v>118222</v>
      </c>
    </row>
    <row r="22" ht="16" spans="1:12">
      <c r="A22" s="199" t="s">
        <v>29</v>
      </c>
      <c r="B22" s="200" t="s">
        <v>346</v>
      </c>
      <c r="C22" s="200">
        <v>19584</v>
      </c>
      <c r="D22" s="200" t="s">
        <v>348</v>
      </c>
      <c r="E22" s="64" t="s">
        <v>349</v>
      </c>
      <c r="F22" s="201">
        <v>13414</v>
      </c>
      <c r="G22" s="64" t="s">
        <v>350</v>
      </c>
      <c r="H22" s="201">
        <v>3</v>
      </c>
      <c r="I22" s="200" t="s">
        <v>351</v>
      </c>
      <c r="J22" s="201">
        <v>204</v>
      </c>
      <c r="K22" s="64" t="s">
        <v>352</v>
      </c>
      <c r="L22" s="201">
        <f t="shared" si="1"/>
        <v>5963</v>
      </c>
    </row>
    <row r="23" ht="16" spans="1:12">
      <c r="A23" s="199" t="s">
        <v>41</v>
      </c>
      <c r="B23" s="200" t="s">
        <v>42</v>
      </c>
      <c r="C23" s="202">
        <v>138744</v>
      </c>
      <c r="D23" s="202" t="s">
        <v>353</v>
      </c>
      <c r="E23" s="203" t="s">
        <v>354</v>
      </c>
      <c r="F23" s="204">
        <v>35191</v>
      </c>
      <c r="G23" s="203" t="s">
        <v>355</v>
      </c>
      <c r="H23" s="204">
        <v>33746</v>
      </c>
      <c r="I23" s="202" t="s">
        <v>356</v>
      </c>
      <c r="J23" s="204">
        <v>18587</v>
      </c>
      <c r="K23" s="203" t="s">
        <v>357</v>
      </c>
      <c r="L23" s="204">
        <f t="shared" si="1"/>
        <v>51220</v>
      </c>
    </row>
    <row r="24" ht="16" spans="1:12">
      <c r="A24" s="199" t="s">
        <v>41</v>
      </c>
      <c r="B24" s="200" t="s">
        <v>43</v>
      </c>
      <c r="C24" s="200">
        <v>214671</v>
      </c>
      <c r="D24" s="200" t="s">
        <v>348</v>
      </c>
      <c r="E24" s="64" t="s">
        <v>349</v>
      </c>
      <c r="F24" s="201">
        <v>33669</v>
      </c>
      <c r="G24" s="64" t="s">
        <v>350</v>
      </c>
      <c r="H24" s="201">
        <v>81903</v>
      </c>
      <c r="I24" s="200" t="s">
        <v>351</v>
      </c>
      <c r="J24" s="201">
        <v>28955</v>
      </c>
      <c r="K24" s="64" t="s">
        <v>352</v>
      </c>
      <c r="L24" s="201">
        <f t="shared" si="1"/>
        <v>70144</v>
      </c>
    </row>
    <row r="25" ht="16" spans="1:12">
      <c r="A25" s="199" t="s">
        <v>41</v>
      </c>
      <c r="B25" s="200" t="s">
        <v>44</v>
      </c>
      <c r="C25" s="200">
        <v>467673</v>
      </c>
      <c r="D25" s="200" t="s">
        <v>348</v>
      </c>
      <c r="E25" s="64" t="s">
        <v>349</v>
      </c>
      <c r="F25" s="205">
        <v>113756</v>
      </c>
      <c r="G25" s="64" t="s">
        <v>350</v>
      </c>
      <c r="H25" s="201">
        <v>91038</v>
      </c>
      <c r="I25" s="200" t="s">
        <v>351</v>
      </c>
      <c r="J25" s="205">
        <v>51568</v>
      </c>
      <c r="K25" s="64" t="s">
        <v>352</v>
      </c>
      <c r="L25" s="205">
        <f t="shared" si="1"/>
        <v>211311</v>
      </c>
    </row>
    <row r="26" ht="16" spans="1:12">
      <c r="A26" s="199" t="s">
        <v>41</v>
      </c>
      <c r="B26" s="199" t="s">
        <v>359</v>
      </c>
      <c r="C26" s="200">
        <v>243158</v>
      </c>
      <c r="D26" s="200" t="s">
        <v>348</v>
      </c>
      <c r="E26" s="64" t="s">
        <v>349</v>
      </c>
      <c r="F26" s="201">
        <v>55197</v>
      </c>
      <c r="G26" s="64" t="s">
        <v>350</v>
      </c>
      <c r="H26" s="201">
        <v>79928</v>
      </c>
      <c r="I26" s="200" t="s">
        <v>351</v>
      </c>
      <c r="J26" s="201">
        <v>53</v>
      </c>
      <c r="K26" s="64" t="s">
        <v>352</v>
      </c>
      <c r="L26" s="201">
        <f t="shared" si="1"/>
        <v>107980</v>
      </c>
    </row>
    <row r="27" ht="16" spans="1:12">
      <c r="A27" s="199" t="s">
        <v>41</v>
      </c>
      <c r="B27" s="200" t="s">
        <v>46</v>
      </c>
      <c r="C27" s="200">
        <v>25818</v>
      </c>
      <c r="D27" s="200" t="s">
        <v>348</v>
      </c>
      <c r="E27" s="64" t="s">
        <v>358</v>
      </c>
      <c r="F27" s="201">
        <v>25818</v>
      </c>
      <c r="G27" s="64"/>
      <c r="H27" s="64"/>
      <c r="I27" s="64"/>
      <c r="J27" s="64"/>
      <c r="K27" s="64"/>
      <c r="L27" s="64"/>
    </row>
    <row r="28" ht="16" spans="1:12">
      <c r="A28" s="199" t="s">
        <v>41</v>
      </c>
      <c r="B28" s="200" t="s">
        <v>47</v>
      </c>
      <c r="C28" s="200">
        <v>12326</v>
      </c>
      <c r="D28" s="200" t="s">
        <v>348</v>
      </c>
      <c r="E28" s="64" t="s">
        <v>358</v>
      </c>
      <c r="F28" s="201">
        <v>12326</v>
      </c>
      <c r="G28" s="64"/>
      <c r="H28" s="64"/>
      <c r="I28" s="64"/>
      <c r="J28" s="64"/>
      <c r="K28" s="64"/>
      <c r="L28" s="64"/>
    </row>
  </sheetData>
  <mergeCells count="4">
    <mergeCell ref="A1:L1"/>
    <mergeCell ref="A2:B2"/>
    <mergeCell ref="C2:D2"/>
    <mergeCell ref="G2:L2"/>
  </mergeCells>
  <dataValidations count="1">
    <dataValidation type="list" allowBlank="1" showErrorMessage="1" sqref="A4:A28">
      <formula1>"变美,健康,兴趣"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14BA9"/>
    <outlinePr summaryBelow="0" summaryRight="0"/>
  </sheetPr>
  <dimension ref="A1:I33"/>
  <sheetViews>
    <sheetView workbookViewId="0">
      <selection activeCell="A1" sqref="A1"/>
    </sheetView>
  </sheetViews>
  <sheetFormatPr defaultColWidth="14" defaultRowHeight="15.2"/>
  <cols>
    <col min="1" max="1" width="18" customWidth="1"/>
    <col min="2" max="2" width="26" customWidth="1"/>
    <col min="3" max="3" width="37" customWidth="1"/>
    <col min="4" max="4" width="42" customWidth="1"/>
    <col min="5" max="5" width="37" customWidth="1"/>
    <col min="6" max="6" width="42" customWidth="1"/>
    <col min="7" max="7" width="44" customWidth="1"/>
    <col min="8" max="9" width="46" customWidth="1"/>
  </cols>
  <sheetData>
    <row r="1" ht="26" spans="1:9">
      <c r="A1" s="5" t="s">
        <v>56</v>
      </c>
      <c r="B1" s="6" t="s">
        <v>57</v>
      </c>
      <c r="C1" s="135" t="s">
        <v>58</v>
      </c>
      <c r="D1" s="135" t="s">
        <v>59</v>
      </c>
      <c r="E1" s="135" t="s">
        <v>60</v>
      </c>
      <c r="F1" s="135" t="s">
        <v>61</v>
      </c>
      <c r="G1" s="135" t="s">
        <v>62</v>
      </c>
      <c r="H1" s="135" t="s">
        <v>63</v>
      </c>
      <c r="I1" s="135" t="s">
        <v>64</v>
      </c>
    </row>
    <row r="2" ht="26" spans="1:9">
      <c r="A2" s="8" t="s">
        <v>65</v>
      </c>
      <c r="B2" s="6"/>
      <c r="C2" s="135">
        <v>4</v>
      </c>
      <c r="D2" s="135">
        <v>5</v>
      </c>
      <c r="E2" s="135">
        <v>6</v>
      </c>
      <c r="F2" s="135">
        <v>7</v>
      </c>
      <c r="G2" s="135">
        <v>8</v>
      </c>
      <c r="H2" s="135">
        <v>9</v>
      </c>
      <c r="I2" s="135">
        <v>10</v>
      </c>
    </row>
    <row r="3" ht="19" customHeight="1" spans="1:9">
      <c r="A3" s="5" t="s">
        <v>66</v>
      </c>
      <c r="B3" s="6"/>
      <c r="C3" s="207" t="s">
        <v>360</v>
      </c>
      <c r="D3" s="207" t="s">
        <v>361</v>
      </c>
      <c r="E3" s="140" t="s">
        <v>67</v>
      </c>
      <c r="F3" s="140" t="s">
        <v>68</v>
      </c>
      <c r="G3" s="140" t="s">
        <v>69</v>
      </c>
      <c r="H3" s="140" t="s">
        <v>110</v>
      </c>
      <c r="I3" s="145"/>
    </row>
    <row r="4" ht="37" customHeight="1" spans="1:9">
      <c r="A4" s="5"/>
      <c r="B4" s="48" t="s">
        <v>72</v>
      </c>
      <c r="C4" s="208" t="s">
        <v>73</v>
      </c>
      <c r="D4" s="208" t="s">
        <v>74</v>
      </c>
      <c r="E4" s="209" t="s">
        <v>73</v>
      </c>
      <c r="F4" s="208" t="s">
        <v>74</v>
      </c>
      <c r="G4" s="209" t="s">
        <v>73</v>
      </c>
      <c r="H4" s="208" t="s">
        <v>74</v>
      </c>
      <c r="I4" s="145"/>
    </row>
    <row r="5" ht="37" customHeight="1" spans="1:9">
      <c r="A5" s="5"/>
      <c r="B5" s="56" t="s">
        <v>75</v>
      </c>
      <c r="C5" s="208">
        <v>204347</v>
      </c>
      <c r="D5" s="208">
        <f>157884+114629</f>
        <v>272513</v>
      </c>
      <c r="E5" s="209">
        <v>324681</v>
      </c>
      <c r="F5" s="209">
        <v>342915</v>
      </c>
      <c r="G5" s="208">
        <f>204347+191303</f>
        <v>395650</v>
      </c>
      <c r="H5" s="209">
        <f>78569+85672+85979+63401</f>
        <v>313621</v>
      </c>
      <c r="I5" s="145"/>
    </row>
    <row r="6" ht="135" customHeight="1" spans="1:9">
      <c r="A6" s="5"/>
      <c r="B6" s="52" t="s">
        <v>76</v>
      </c>
      <c r="C6" s="210" t="s">
        <v>362</v>
      </c>
      <c r="D6" s="81"/>
      <c r="E6" s="210" t="s">
        <v>363</v>
      </c>
      <c r="F6" s="81"/>
      <c r="G6" s="77" t="s">
        <v>364</v>
      </c>
      <c r="H6" s="77" t="s">
        <v>365</v>
      </c>
      <c r="I6" s="81"/>
    </row>
    <row r="7" ht="148" customHeight="1" spans="1:9">
      <c r="A7" s="5"/>
      <c r="B7" s="55" t="s">
        <v>82</v>
      </c>
      <c r="C7" s="208"/>
      <c r="D7" s="210" t="s">
        <v>366</v>
      </c>
      <c r="E7" s="209"/>
      <c r="F7" s="77" t="s">
        <v>367</v>
      </c>
      <c r="G7" s="209"/>
      <c r="H7" s="77" t="s">
        <v>368</v>
      </c>
      <c r="I7" s="145"/>
    </row>
    <row r="8" ht="36" spans="1:9">
      <c r="A8" s="211" t="s">
        <v>84</v>
      </c>
      <c r="B8" s="146" t="s">
        <v>85</v>
      </c>
      <c r="C8" s="212"/>
      <c r="D8" s="81"/>
      <c r="E8" s="145"/>
      <c r="F8" s="148" t="s">
        <v>369</v>
      </c>
      <c r="G8" s="175" t="s">
        <v>370</v>
      </c>
      <c r="H8" s="213" t="s">
        <v>371</v>
      </c>
      <c r="I8" s="145"/>
    </row>
    <row r="9" ht="38" customHeight="1" spans="1:9">
      <c r="A9" s="211"/>
      <c r="B9" s="48" t="s">
        <v>72</v>
      </c>
      <c r="C9" s="212"/>
      <c r="D9" s="81"/>
      <c r="E9" s="145"/>
      <c r="F9" s="214" t="s">
        <v>73</v>
      </c>
      <c r="G9" s="214" t="s">
        <v>88</v>
      </c>
      <c r="H9" s="208" t="s">
        <v>74</v>
      </c>
      <c r="I9" s="145"/>
    </row>
    <row r="10" ht="38" customHeight="1" spans="1:9">
      <c r="A10" s="211"/>
      <c r="B10" s="56" t="s">
        <v>75</v>
      </c>
      <c r="C10" s="212"/>
      <c r="D10" s="212"/>
      <c r="E10" s="145"/>
      <c r="F10" s="214">
        <f>71369+19558+370697</f>
        <v>461624</v>
      </c>
      <c r="G10" s="214">
        <f>138840+209627+38165</f>
        <v>386632</v>
      </c>
      <c r="H10" s="209">
        <f>115188+20109+184629+163084</f>
        <v>483010</v>
      </c>
      <c r="I10" s="145"/>
    </row>
    <row r="11" ht="125" customHeight="1" spans="1:9">
      <c r="A11" s="211"/>
      <c r="B11" s="52" t="s">
        <v>76</v>
      </c>
      <c r="C11" s="212"/>
      <c r="D11" s="212"/>
      <c r="E11" s="145"/>
      <c r="F11" s="215" t="s">
        <v>372</v>
      </c>
      <c r="G11" s="216"/>
      <c r="H11" s="81"/>
      <c r="I11" s="145"/>
    </row>
    <row r="12" ht="149" customHeight="1" spans="1:9">
      <c r="A12" s="211"/>
      <c r="B12" s="55" t="s">
        <v>82</v>
      </c>
      <c r="C12" s="212"/>
      <c r="D12" s="212"/>
      <c r="E12" s="145"/>
      <c r="F12" s="214"/>
      <c r="G12" s="81"/>
      <c r="H12" s="217" t="s">
        <v>373</v>
      </c>
      <c r="I12" s="145"/>
    </row>
    <row r="13" ht="153" customHeight="1" spans="1:9">
      <c r="A13" s="211"/>
      <c r="B13" s="56" t="s">
        <v>89</v>
      </c>
      <c r="C13" s="212"/>
      <c r="D13" s="81"/>
      <c r="E13" s="145"/>
      <c r="F13" s="214"/>
      <c r="G13" s="217" t="s">
        <v>374</v>
      </c>
      <c r="H13" s="218"/>
      <c r="I13" s="145"/>
    </row>
    <row r="14" ht="62" spans="1:9">
      <c r="A14" s="1" t="s">
        <v>375</v>
      </c>
      <c r="B14" s="1"/>
      <c r="C14" s="176"/>
      <c r="D14" s="176"/>
      <c r="E14" s="219" t="s">
        <v>376</v>
      </c>
      <c r="F14" s="179" t="s">
        <v>377</v>
      </c>
      <c r="G14" s="145"/>
      <c r="H14" s="145"/>
      <c r="I14" s="145"/>
    </row>
    <row r="15" ht="36" customHeight="1" spans="1:9">
      <c r="A15" s="48" t="s">
        <v>378</v>
      </c>
      <c r="B15" s="48"/>
      <c r="C15" s="176"/>
      <c r="D15" s="176"/>
      <c r="E15" s="219" t="s">
        <v>74</v>
      </c>
      <c r="F15" s="179" t="s">
        <v>73</v>
      </c>
      <c r="G15" s="145"/>
      <c r="H15" s="145"/>
      <c r="I15" s="220"/>
    </row>
    <row r="16" ht="122" spans="1:9">
      <c r="A16" s="5" t="s">
        <v>103</v>
      </c>
      <c r="B16" s="146" t="s">
        <v>85</v>
      </c>
      <c r="C16" s="207" t="s">
        <v>379</v>
      </c>
      <c r="D16" s="207" t="s">
        <v>380</v>
      </c>
      <c r="E16" s="145"/>
      <c r="F16" s="207" t="s">
        <v>381</v>
      </c>
      <c r="G16" s="145"/>
      <c r="H16" s="149" t="s">
        <v>382</v>
      </c>
      <c r="I16" s="81"/>
    </row>
    <row r="17" ht="26" spans="1:9">
      <c r="A17" s="5"/>
      <c r="B17" s="48" t="s">
        <v>72</v>
      </c>
      <c r="C17" s="221" t="s">
        <v>73</v>
      </c>
      <c r="D17" s="144" t="s">
        <v>73</v>
      </c>
      <c r="E17" s="145"/>
      <c r="F17" s="212" t="s">
        <v>88</v>
      </c>
      <c r="G17" s="145"/>
      <c r="H17" s="222" t="s">
        <v>88</v>
      </c>
      <c r="I17" s="81"/>
    </row>
    <row r="18" ht="19" customHeight="1" spans="1:9">
      <c r="A18" s="5"/>
      <c r="B18" s="56" t="s">
        <v>75</v>
      </c>
      <c r="C18" s="223">
        <f>160219+280723</f>
        <v>440942</v>
      </c>
      <c r="D18" s="209">
        <f>449147</f>
        <v>449147</v>
      </c>
      <c r="E18" s="145"/>
      <c r="F18" s="144">
        <v>245086</v>
      </c>
      <c r="G18" s="145"/>
      <c r="H18" s="222">
        <f>214724+259962</f>
        <v>474686</v>
      </c>
      <c r="I18" s="81"/>
    </row>
    <row r="19" ht="19" customHeight="1" spans="1:9">
      <c r="A19" s="5"/>
      <c r="B19" s="52" t="s">
        <v>76</v>
      </c>
      <c r="C19" s="224" t="s">
        <v>383</v>
      </c>
      <c r="D19" s="224" t="s">
        <v>384</v>
      </c>
      <c r="E19" s="145"/>
      <c r="F19" s="145"/>
      <c r="G19" s="145"/>
      <c r="H19" s="225"/>
      <c r="I19" s="81"/>
    </row>
    <row r="20" ht="19" customHeight="1" spans="1:9">
      <c r="A20" s="5"/>
      <c r="B20" s="226" t="s">
        <v>89</v>
      </c>
      <c r="C20" s="122"/>
      <c r="D20" s="122"/>
      <c r="E20" s="122"/>
      <c r="F20" s="227" t="s">
        <v>385</v>
      </c>
      <c r="G20" s="122"/>
      <c r="H20" s="228" t="s">
        <v>386</v>
      </c>
      <c r="I20" s="122"/>
    </row>
    <row r="21" ht="86" spans="1:9">
      <c r="A21" s="11"/>
      <c r="B21" s="146" t="s">
        <v>85</v>
      </c>
      <c r="C21" s="81"/>
      <c r="D21" s="81"/>
      <c r="E21" s="81"/>
      <c r="F21" s="81"/>
      <c r="G21" s="81"/>
      <c r="H21" s="207" t="s">
        <v>387</v>
      </c>
      <c r="I21" s="81"/>
    </row>
    <row r="22" ht="26" spans="1:9">
      <c r="A22" s="11"/>
      <c r="B22" s="48" t="s">
        <v>72</v>
      </c>
      <c r="C22" s="81"/>
      <c r="D22" s="81"/>
      <c r="E22" s="81"/>
      <c r="F22" s="81"/>
      <c r="G22" s="81"/>
      <c r="H22" s="144" t="s">
        <v>74</v>
      </c>
      <c r="I22" s="81"/>
    </row>
    <row r="23" ht="40" spans="1:9">
      <c r="A23" s="11"/>
      <c r="B23" s="81" t="s">
        <v>89</v>
      </c>
      <c r="C23" s="81"/>
      <c r="D23" s="81"/>
      <c r="E23" s="81"/>
      <c r="F23" s="81"/>
      <c r="G23" s="81"/>
      <c r="H23" s="224" t="s">
        <v>388</v>
      </c>
      <c r="I23" s="81"/>
    </row>
    <row r="25" ht="20.4" spans="1:9">
      <c r="A25" s="66" t="s">
        <v>141</v>
      </c>
      <c r="B25" s="65" t="s">
        <v>142</v>
      </c>
      <c r="C25" s="64"/>
      <c r="D25" s="64"/>
      <c r="E25" s="66"/>
    </row>
    <row r="26" ht="34" spans="1:9">
      <c r="A26" s="109" t="s">
        <v>389</v>
      </c>
      <c r="B26" s="67" t="s">
        <v>390</v>
      </c>
      <c r="C26" s="187" t="s">
        <v>391</v>
      </c>
      <c r="D26" s="63" t="s">
        <v>392</v>
      </c>
      <c r="E26" s="63"/>
    </row>
    <row r="27" ht="34" spans="1:9">
      <c r="A27" s="109"/>
      <c r="B27" s="67" t="s">
        <v>393</v>
      </c>
      <c r="C27" s="71" t="s">
        <v>394</v>
      </c>
      <c r="D27" s="63" t="s">
        <v>395</v>
      </c>
      <c r="E27" s="63"/>
    </row>
    <row r="28" ht="20.4" spans="1:9">
      <c r="A28" s="109"/>
      <c r="B28" s="65" t="s">
        <v>142</v>
      </c>
      <c r="C28" s="65" t="s">
        <v>150</v>
      </c>
      <c r="D28" s="65" t="s">
        <v>151</v>
      </c>
      <c r="E28" s="65" t="s">
        <v>152</v>
      </c>
    </row>
    <row r="29" ht="18" spans="1:9">
      <c r="A29" s="109"/>
      <c r="B29" s="184" t="s">
        <v>396</v>
      </c>
      <c r="C29" s="184" t="s">
        <v>397</v>
      </c>
      <c r="D29" s="184" t="s">
        <v>398</v>
      </c>
      <c r="E29" s="184" t="s">
        <v>399</v>
      </c>
      <c r="F29" s="184"/>
      <c r="G29" s="184"/>
      <c r="H29" s="184"/>
    </row>
    <row r="30" ht="18" spans="1:9">
      <c r="A30" s="109"/>
      <c r="B30" s="184" t="s">
        <v>400</v>
      </c>
      <c r="C30" s="184" t="s">
        <v>401</v>
      </c>
      <c r="D30" s="184" t="s">
        <v>402</v>
      </c>
      <c r="E30" s="184" t="s">
        <v>403</v>
      </c>
      <c r="F30" s="184"/>
      <c r="G30" s="184"/>
      <c r="H30" s="184"/>
    </row>
    <row r="31" ht="18" spans="1:9">
      <c r="A31" s="109"/>
      <c r="B31" s="184" t="s">
        <v>404</v>
      </c>
      <c r="C31" s="184" t="s">
        <v>405</v>
      </c>
      <c r="D31" s="184" t="s">
        <v>406</v>
      </c>
      <c r="E31" s="184" t="s">
        <v>407</v>
      </c>
      <c r="F31" s="184"/>
      <c r="G31" s="184"/>
      <c r="H31" s="184"/>
    </row>
    <row r="32" ht="18" spans="1:9">
      <c r="A32" s="109"/>
      <c r="B32" s="229" t="s">
        <v>408</v>
      </c>
      <c r="C32" s="229" t="s">
        <v>409</v>
      </c>
      <c r="D32" s="229" t="s">
        <v>410</v>
      </c>
      <c r="E32" s="229" t="s">
        <v>411</v>
      </c>
      <c r="F32" s="184"/>
      <c r="G32" s="184"/>
    </row>
    <row r="33" ht="18" spans="1:7">
      <c r="A33" s="109"/>
      <c r="B33" s="229" t="s">
        <v>412</v>
      </c>
      <c r="C33" s="229" t="s">
        <v>413</v>
      </c>
      <c r="D33" s="229" t="s">
        <v>414</v>
      </c>
      <c r="E33" s="229" t="s">
        <v>415</v>
      </c>
      <c r="F33" s="184"/>
      <c r="G33" s="184"/>
    </row>
  </sheetData>
  <mergeCells count="7">
    <mergeCell ref="A14:B14"/>
    <mergeCell ref="A15:B15"/>
    <mergeCell ref="A3:A7"/>
    <mergeCell ref="A8:A13"/>
    <mergeCell ref="A16:A23"/>
    <mergeCell ref="A26:A33"/>
    <mergeCell ref="B1:B3"/>
  </mergeCells>
  <hyperlinks>
    <hyperlink ref="F16" r:id="rId1" display="摄影美学-段晓晖单人&#10;复用4.14日段&#10;直播间ID：3660448053&#10;开播时间：19:00&#10;预约链接：https://s.xingqudao.net/SOYeaj8Z"/>
    <hyperlink ref="E29" r:id="rId2" display="https://s.xingqudao.net/SOYeemNS"/>
    <hyperlink ref="E31" r:id="rId3" display="https://s.xingqudao.net/SOYeemNU"/>
    <hyperlink ref="D32" r:id="rId4" display="https://t1.nicegoods.cn/financial/experience-plan-sku?launchId=128900908620&amp;wcl=210500_14231208_financing"/>
    <hyperlink ref="D26" r:id="rId5" display="https://t1.nicegoods.cn/financial/experience-plan-sku?launchId=128900908620"/>
    <hyperlink ref="E32" r:id="rId6" display="https://s.xingqudao.net/SOYeemNQ"/>
    <hyperlink ref="C16" r:id="rId7" display="2025.5.16健康营养&#10;开播时间：19:00&#10;直播间ID：3660238220&#10;预约链接：https://s.xingqudao.net/SOYeaj65"/>
    <hyperlink ref="D30" r:id="rId8" display="https://t1.nicegoods.cn/financial/experience-plan-sku?launchId=128913104461&amp;wcl=210500_14231211_financing"/>
    <hyperlink ref="D33" r:id="rId9" display="https://t1.nicegoods.cn/financial/experience-plan-sku?launchId=128913104461&amp;wcl=210500_14231209_financing"/>
    <hyperlink ref="H16" r:id="rId10" display="短视频复用（跟4.11一样）&#10;不需要剪辑&#10;开播时间：19:00&#10;直播间ID：3660460142&#10;预约链接：https://s.xingqudao.net/SOYeaHtt"/>
    <hyperlink ref="E33" r:id="rId11" display="https://s.xingqudao.net/SOYeemNR"/>
    <hyperlink ref="H21" r:id="rId12" display="编织笑笑-0元&#10;19:00&#10;直播间id：3660465864&#10;直播间链接：https://s.xingqudao.net/SOYeelF2"/>
    <hyperlink ref="D31" r:id="rId13" display="https://t1.nicegoods.cn/financial/experience-plan-sku?launchId=128913104461&amp;wcl=210500_14231212_financing"/>
    <hyperlink ref="D3" r:id="rId14" display="逆龄女神瑜伽&#10;已有单课id，复用3.21&#10;开播时间：7:30&#10;预约链接：https://s.xingqudao.net/SOYeaHs6"/>
    <hyperlink ref="D27" r:id="rId15" display="https://t1.nicegoods.cn/financial/experience-plan-sku?launchId=128913104461"/>
    <hyperlink ref="D29" r:id="rId16" display="https://t1.nicegoods.cn/financial/experience-plan-sku?launchId=128913104461&amp;wcl=210500_14231210_financing"/>
    <hyperlink ref="D16" r:id="rId17" display="君合太极-刘君合&#10;复用4.26&#10;开播时间：19:00&#10;预约链接：https://s.xingqudao.net/SOYeaq2o"/>
    <hyperlink ref="E30" r:id="rId18" display="https://s.xingqudao.net/SOYeemNT"/>
    <hyperlink ref="C3" r:id="rId19" display="睡眠&#10;复用3.27&#10;需剪辑&#10;开播时间：7:30&#10;预约链接：https://s.xingqudao.net/SOYeapwS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8800"/>
    <outlinePr summaryBelow="0" summaryRight="0"/>
  </sheetPr>
  <dimension ref="A1:L28"/>
  <sheetViews>
    <sheetView workbookViewId="0">
      <selection activeCell="A1" sqref="A1:L1"/>
    </sheetView>
  </sheetViews>
  <sheetFormatPr defaultColWidth="14" defaultRowHeight="15.2"/>
  <cols>
    <col min="3" max="3" width="16" customWidth="1"/>
    <col min="4" max="4" width="8" customWidth="1"/>
    <col min="5" max="5" width="28" customWidth="1"/>
    <col min="6" max="6" width="7" customWidth="1"/>
    <col min="7" max="7" width="28" customWidth="1"/>
    <col min="8" max="8" width="6" customWidth="1"/>
    <col min="9" max="9" width="27" customWidth="1"/>
    <col min="10" max="10" width="7" customWidth="1"/>
    <col min="11" max="11" width="23" customWidth="1"/>
    <col min="12" max="12" width="7" customWidth="1"/>
  </cols>
  <sheetData>
    <row r="1" ht="26" spans="1:12">
      <c r="A1" s="193" t="s">
        <v>416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</row>
    <row r="2" ht="17.6" spans="1:12">
      <c r="A2" s="194" t="s">
        <v>1</v>
      </c>
      <c r="B2" s="194"/>
      <c r="C2" s="195" t="s">
        <v>2</v>
      </c>
      <c r="D2" s="195"/>
      <c r="E2" s="195"/>
      <c r="F2" s="195"/>
      <c r="G2" s="195" t="s">
        <v>3</v>
      </c>
      <c r="H2" s="195"/>
      <c r="I2" s="195"/>
      <c r="J2" s="195"/>
      <c r="K2" s="195"/>
      <c r="L2" s="195"/>
    </row>
    <row r="3" ht="36" spans="1:12">
      <c r="A3" s="196" t="s">
        <v>4</v>
      </c>
      <c r="B3" s="196" t="s">
        <v>5</v>
      </c>
      <c r="C3" s="196" t="s">
        <v>6</v>
      </c>
      <c r="D3" s="197" t="s">
        <v>7</v>
      </c>
      <c r="E3" s="198" t="s">
        <v>7</v>
      </c>
      <c r="F3" s="198" t="s">
        <v>8</v>
      </c>
      <c r="G3" s="198" t="s">
        <v>7</v>
      </c>
      <c r="H3" s="198" t="s">
        <v>8</v>
      </c>
      <c r="I3" s="198" t="s">
        <v>7</v>
      </c>
      <c r="J3" s="198" t="s">
        <v>8</v>
      </c>
      <c r="K3" s="198" t="s">
        <v>7</v>
      </c>
      <c r="L3" s="198" t="s">
        <v>8</v>
      </c>
    </row>
    <row r="4" ht="16" spans="1:12">
      <c r="A4" s="199" t="s">
        <v>9</v>
      </c>
      <c r="B4" s="199" t="s">
        <v>10</v>
      </c>
      <c r="C4" s="200">
        <v>236453</v>
      </c>
      <c r="D4" s="200" t="s">
        <v>353</v>
      </c>
      <c r="E4" s="64" t="s">
        <v>417</v>
      </c>
      <c r="F4" s="201">
        <v>57397</v>
      </c>
      <c r="G4" s="64" t="s">
        <v>418</v>
      </c>
      <c r="H4" s="201">
        <v>21172</v>
      </c>
      <c r="I4" s="200" t="s">
        <v>356</v>
      </c>
      <c r="J4" s="201">
        <v>42665</v>
      </c>
      <c r="K4" s="64" t="s">
        <v>357</v>
      </c>
      <c r="L4" s="201">
        <f t="shared" ref="L4:L11" si="0">C4-F4-H4-J4</f>
        <v>115219</v>
      </c>
    </row>
    <row r="5" ht="31" spans="1:12">
      <c r="A5" s="199" t="s">
        <v>9</v>
      </c>
      <c r="B5" s="199" t="s">
        <v>16</v>
      </c>
      <c r="C5" s="202">
        <f>88213-9519</f>
        <v>78694</v>
      </c>
      <c r="D5" s="202" t="s">
        <v>340</v>
      </c>
      <c r="E5" s="203" t="s">
        <v>341</v>
      </c>
      <c r="F5" s="204">
        <f>10165-32</f>
        <v>10133</v>
      </c>
      <c r="G5" s="203" t="s">
        <v>342</v>
      </c>
      <c r="H5" s="204">
        <f>27176-4940</f>
        <v>22236</v>
      </c>
      <c r="I5" s="202" t="s">
        <v>343</v>
      </c>
      <c r="J5" s="204">
        <f>9401-4547</f>
        <v>4854</v>
      </c>
      <c r="K5" s="203" t="s">
        <v>344</v>
      </c>
      <c r="L5" s="204">
        <f t="shared" si="0"/>
        <v>41471</v>
      </c>
    </row>
    <row r="6" ht="16" spans="1:12">
      <c r="A6" s="199" t="s">
        <v>9</v>
      </c>
      <c r="B6" s="200" t="s">
        <v>22</v>
      </c>
      <c r="C6" s="202">
        <v>121597</v>
      </c>
      <c r="D6" s="202" t="s">
        <v>340</v>
      </c>
      <c r="E6" s="203" t="s">
        <v>341</v>
      </c>
      <c r="F6" s="204">
        <v>16037</v>
      </c>
      <c r="G6" s="203" t="s">
        <v>342</v>
      </c>
      <c r="H6" s="204">
        <v>37266</v>
      </c>
      <c r="I6" s="202" t="s">
        <v>343</v>
      </c>
      <c r="J6" s="204">
        <v>12528</v>
      </c>
      <c r="K6" s="203" t="s">
        <v>344</v>
      </c>
      <c r="L6" s="204">
        <f t="shared" si="0"/>
        <v>55766</v>
      </c>
    </row>
    <row r="7" ht="16" spans="1:12">
      <c r="A7" s="199" t="s">
        <v>9</v>
      </c>
      <c r="B7" s="200" t="s">
        <v>23</v>
      </c>
      <c r="C7" s="200">
        <v>232633</v>
      </c>
      <c r="D7" s="200" t="s">
        <v>353</v>
      </c>
      <c r="E7" s="64" t="s">
        <v>417</v>
      </c>
      <c r="F7" s="201">
        <v>44878</v>
      </c>
      <c r="G7" s="64" t="s">
        <v>418</v>
      </c>
      <c r="H7" s="201">
        <v>41101</v>
      </c>
      <c r="I7" s="200" t="s">
        <v>356</v>
      </c>
      <c r="J7" s="200">
        <v>36130</v>
      </c>
      <c r="K7" s="64" t="s">
        <v>357</v>
      </c>
      <c r="L7" s="200">
        <f t="shared" si="0"/>
        <v>110524</v>
      </c>
    </row>
    <row r="8" ht="16" spans="1:12">
      <c r="A8" s="199" t="s">
        <v>9</v>
      </c>
      <c r="B8" s="199" t="s">
        <v>24</v>
      </c>
      <c r="C8" s="200">
        <v>182407</v>
      </c>
      <c r="D8" s="200" t="s">
        <v>353</v>
      </c>
      <c r="E8" s="64" t="s">
        <v>417</v>
      </c>
      <c r="F8" s="201">
        <v>82596</v>
      </c>
      <c r="G8" s="64" t="s">
        <v>418</v>
      </c>
      <c r="H8" s="201">
        <v>10152</v>
      </c>
      <c r="I8" s="200" t="s">
        <v>356</v>
      </c>
      <c r="J8" s="201">
        <v>21764</v>
      </c>
      <c r="K8" s="64" t="s">
        <v>357</v>
      </c>
      <c r="L8" s="201">
        <f t="shared" si="0"/>
        <v>67895</v>
      </c>
    </row>
    <row r="9" ht="16" spans="1:12">
      <c r="A9" s="199" t="s">
        <v>9</v>
      </c>
      <c r="B9" s="199" t="s">
        <v>25</v>
      </c>
      <c r="C9" s="200">
        <v>160204</v>
      </c>
      <c r="D9" s="200" t="s">
        <v>353</v>
      </c>
      <c r="E9" s="64" t="s">
        <v>417</v>
      </c>
      <c r="F9" s="201">
        <v>35235</v>
      </c>
      <c r="G9" s="64" t="s">
        <v>418</v>
      </c>
      <c r="H9" s="201">
        <v>5909</v>
      </c>
      <c r="I9" s="200" t="s">
        <v>356</v>
      </c>
      <c r="J9" s="201">
        <v>28973</v>
      </c>
      <c r="K9" s="64" t="s">
        <v>357</v>
      </c>
      <c r="L9" s="201">
        <f t="shared" si="0"/>
        <v>90087</v>
      </c>
    </row>
    <row r="10" ht="16" spans="1:12">
      <c r="A10" s="199" t="s">
        <v>9</v>
      </c>
      <c r="B10" s="199" t="s">
        <v>26</v>
      </c>
      <c r="C10" s="200">
        <v>348017</v>
      </c>
      <c r="D10" s="200" t="s">
        <v>353</v>
      </c>
      <c r="E10" s="64" t="s">
        <v>417</v>
      </c>
      <c r="F10" s="201">
        <v>52234</v>
      </c>
      <c r="G10" s="64" t="s">
        <v>418</v>
      </c>
      <c r="H10" s="201">
        <v>26741</v>
      </c>
      <c r="I10" s="200" t="s">
        <v>356</v>
      </c>
      <c r="J10" s="201">
        <v>84109</v>
      </c>
      <c r="K10" s="64" t="s">
        <v>357</v>
      </c>
      <c r="L10" s="201">
        <f t="shared" si="0"/>
        <v>184933</v>
      </c>
    </row>
    <row r="11" ht="16" spans="1:12">
      <c r="A11" s="199" t="s">
        <v>9</v>
      </c>
      <c r="B11" s="199" t="s">
        <v>27</v>
      </c>
      <c r="C11" s="200">
        <v>115188</v>
      </c>
      <c r="D11" s="200" t="s">
        <v>353</v>
      </c>
      <c r="E11" s="64" t="s">
        <v>417</v>
      </c>
      <c r="F11" s="201">
        <v>36773</v>
      </c>
      <c r="G11" s="64" t="s">
        <v>418</v>
      </c>
      <c r="H11" s="201">
        <v>14524</v>
      </c>
      <c r="I11" s="200" t="s">
        <v>356</v>
      </c>
      <c r="J11" s="201">
        <v>19845</v>
      </c>
      <c r="K11" s="64" t="s">
        <v>357</v>
      </c>
      <c r="L11" s="201">
        <f t="shared" si="0"/>
        <v>44046</v>
      </c>
    </row>
    <row r="12" ht="16" spans="1:12">
      <c r="A12" s="199" t="s">
        <v>9</v>
      </c>
      <c r="B12" s="200" t="s">
        <v>28</v>
      </c>
      <c r="C12" s="200">
        <v>20109</v>
      </c>
      <c r="D12" s="200" t="s">
        <v>353</v>
      </c>
      <c r="E12" s="64" t="s">
        <v>419</v>
      </c>
      <c r="F12" s="201">
        <v>20109</v>
      </c>
      <c r="G12" s="64"/>
      <c r="H12" s="200"/>
      <c r="I12" s="200"/>
      <c r="J12" s="200"/>
      <c r="K12" s="64"/>
      <c r="L12" s="200"/>
    </row>
    <row r="13" ht="16" spans="1:12">
      <c r="A13" s="199" t="s">
        <v>29</v>
      </c>
      <c r="B13" s="200" t="s">
        <v>30</v>
      </c>
      <c r="C13" s="200">
        <v>49105</v>
      </c>
      <c r="D13" s="200" t="s">
        <v>353</v>
      </c>
      <c r="E13" s="64" t="s">
        <v>417</v>
      </c>
      <c r="F13" s="200">
        <v>7700</v>
      </c>
      <c r="G13" s="64" t="s">
        <v>418</v>
      </c>
      <c r="H13" s="200">
        <v>1038</v>
      </c>
      <c r="I13" s="200" t="s">
        <v>356</v>
      </c>
      <c r="J13" s="200">
        <v>2622</v>
      </c>
      <c r="K13" s="64" t="s">
        <v>357</v>
      </c>
      <c r="L13" s="200">
        <f t="shared" ref="L13:L26" si="1">C13-F13-H13-J13</f>
        <v>37745</v>
      </c>
    </row>
    <row r="14" ht="16" spans="1:12">
      <c r="A14" s="199" t="s">
        <v>29</v>
      </c>
      <c r="B14" s="200" t="s">
        <v>31</v>
      </c>
      <c r="C14" s="200">
        <v>254136</v>
      </c>
      <c r="D14" s="200" t="s">
        <v>353</v>
      </c>
      <c r="E14" s="64" t="s">
        <v>417</v>
      </c>
      <c r="F14" s="201">
        <v>98145</v>
      </c>
      <c r="G14" s="64" t="s">
        <v>418</v>
      </c>
      <c r="H14" s="201">
        <v>26766</v>
      </c>
      <c r="I14" s="200" t="s">
        <v>356</v>
      </c>
      <c r="J14" s="201">
        <v>35190</v>
      </c>
      <c r="K14" s="64" t="s">
        <v>357</v>
      </c>
      <c r="L14" s="201">
        <f t="shared" si="1"/>
        <v>94035</v>
      </c>
    </row>
    <row r="15" ht="16" spans="1:12">
      <c r="A15" s="199" t="s">
        <v>29</v>
      </c>
      <c r="B15" s="200" t="s">
        <v>32</v>
      </c>
      <c r="C15" s="200">
        <v>308134</v>
      </c>
      <c r="D15" s="200" t="s">
        <v>353</v>
      </c>
      <c r="E15" s="64" t="s">
        <v>417</v>
      </c>
      <c r="F15" s="201">
        <v>118868</v>
      </c>
      <c r="G15" s="64" t="s">
        <v>418</v>
      </c>
      <c r="H15" s="201">
        <v>32330</v>
      </c>
      <c r="I15" s="200" t="s">
        <v>356</v>
      </c>
      <c r="J15" s="201">
        <v>59668</v>
      </c>
      <c r="K15" s="64" t="s">
        <v>357</v>
      </c>
      <c r="L15" s="201">
        <f t="shared" si="1"/>
        <v>97268</v>
      </c>
    </row>
    <row r="16" ht="16" spans="1:12">
      <c r="A16" s="199" t="s">
        <v>29</v>
      </c>
      <c r="B16" s="200" t="s">
        <v>33</v>
      </c>
      <c r="C16" s="200">
        <v>729870</v>
      </c>
      <c r="D16" s="200" t="s">
        <v>353</v>
      </c>
      <c r="E16" s="64" t="s">
        <v>417</v>
      </c>
      <c r="F16" s="201">
        <v>197173</v>
      </c>
      <c r="G16" s="64" t="s">
        <v>418</v>
      </c>
      <c r="H16" s="201">
        <v>83758</v>
      </c>
      <c r="I16" s="200" t="s">
        <v>356</v>
      </c>
      <c r="J16" s="201">
        <v>168216</v>
      </c>
      <c r="K16" s="64" t="s">
        <v>357</v>
      </c>
      <c r="L16" s="201">
        <f t="shared" si="1"/>
        <v>280723</v>
      </c>
    </row>
    <row r="17" ht="16" spans="1:12">
      <c r="A17" s="199" t="s">
        <v>29</v>
      </c>
      <c r="B17" s="200" t="s">
        <v>34</v>
      </c>
      <c r="C17" s="200">
        <v>126241</v>
      </c>
      <c r="D17" s="200" t="s">
        <v>353</v>
      </c>
      <c r="E17" s="64" t="s">
        <v>417</v>
      </c>
      <c r="F17" s="201">
        <v>10597</v>
      </c>
      <c r="G17" s="64" t="s">
        <v>418</v>
      </c>
      <c r="H17" s="201">
        <v>8103</v>
      </c>
      <c r="I17" s="200" t="s">
        <v>356</v>
      </c>
      <c r="J17" s="201">
        <v>27314</v>
      </c>
      <c r="K17" s="64" t="s">
        <v>357</v>
      </c>
      <c r="L17" s="201">
        <f t="shared" si="1"/>
        <v>80227</v>
      </c>
    </row>
    <row r="18" ht="16" spans="1:12">
      <c r="A18" s="199" t="s">
        <v>29</v>
      </c>
      <c r="B18" s="200" t="s">
        <v>35</v>
      </c>
      <c r="C18" s="200">
        <v>204347</v>
      </c>
      <c r="D18" s="200" t="s">
        <v>353</v>
      </c>
      <c r="E18" s="64" t="s">
        <v>417</v>
      </c>
      <c r="F18" s="205">
        <v>56050</v>
      </c>
      <c r="G18" s="64" t="s">
        <v>418</v>
      </c>
      <c r="H18" s="205">
        <v>23647</v>
      </c>
      <c r="I18" s="200" t="s">
        <v>356</v>
      </c>
      <c r="J18" s="205">
        <v>40790</v>
      </c>
      <c r="K18" s="64" t="s">
        <v>357</v>
      </c>
      <c r="L18" s="205">
        <f t="shared" si="1"/>
        <v>83860</v>
      </c>
    </row>
    <row r="19" ht="16" spans="1:12">
      <c r="A19" s="199" t="s">
        <v>29</v>
      </c>
      <c r="B19" s="200" t="s">
        <v>36</v>
      </c>
      <c r="C19" s="200">
        <v>63401</v>
      </c>
      <c r="D19" s="200" t="s">
        <v>353</v>
      </c>
      <c r="E19" s="64" t="s">
        <v>417</v>
      </c>
      <c r="F19" s="205">
        <v>128</v>
      </c>
      <c r="G19" s="64" t="s">
        <v>418</v>
      </c>
      <c r="H19" s="205">
        <v>3624</v>
      </c>
      <c r="I19" s="200" t="s">
        <v>356</v>
      </c>
      <c r="J19" s="205">
        <v>7620</v>
      </c>
      <c r="K19" s="64" t="s">
        <v>357</v>
      </c>
      <c r="L19" s="205">
        <f t="shared" si="1"/>
        <v>52029</v>
      </c>
    </row>
    <row r="20" ht="16" spans="1:12">
      <c r="A20" s="199" t="s">
        <v>29</v>
      </c>
      <c r="B20" s="200" t="s">
        <v>37</v>
      </c>
      <c r="C20" s="200">
        <v>105347</v>
      </c>
      <c r="D20" s="200" t="s">
        <v>353</v>
      </c>
      <c r="E20" s="64" t="s">
        <v>417</v>
      </c>
      <c r="F20" s="201">
        <v>35157</v>
      </c>
      <c r="G20" s="64" t="s">
        <v>418</v>
      </c>
      <c r="H20" s="201">
        <v>17512</v>
      </c>
      <c r="I20" s="200" t="s">
        <v>356</v>
      </c>
      <c r="J20" s="201">
        <v>36891</v>
      </c>
      <c r="K20" s="64" t="s">
        <v>357</v>
      </c>
      <c r="L20" s="201">
        <f t="shared" si="1"/>
        <v>15787</v>
      </c>
    </row>
    <row r="21" ht="16" spans="1:12">
      <c r="A21" s="199" t="s">
        <v>29</v>
      </c>
      <c r="B21" s="200" t="s">
        <v>38</v>
      </c>
      <c r="C21" s="200">
        <v>261280</v>
      </c>
      <c r="D21" s="200" t="s">
        <v>353</v>
      </c>
      <c r="E21" s="64" t="s">
        <v>417</v>
      </c>
      <c r="F21" s="201">
        <v>43913</v>
      </c>
      <c r="G21" s="64" t="s">
        <v>418</v>
      </c>
      <c r="H21" s="201">
        <v>30551</v>
      </c>
      <c r="I21" s="200" t="s">
        <v>356</v>
      </c>
      <c r="J21" s="201">
        <v>65325</v>
      </c>
      <c r="K21" s="64" t="s">
        <v>357</v>
      </c>
      <c r="L21" s="201">
        <f t="shared" si="1"/>
        <v>121491</v>
      </c>
    </row>
    <row r="22" ht="16" spans="1:12">
      <c r="A22" s="199" t="s">
        <v>29</v>
      </c>
      <c r="B22" s="200" t="s">
        <v>346</v>
      </c>
      <c r="C22" s="200">
        <v>19558</v>
      </c>
      <c r="D22" s="200" t="s">
        <v>353</v>
      </c>
      <c r="E22" s="64" t="s">
        <v>417</v>
      </c>
      <c r="F22" s="201">
        <v>13314</v>
      </c>
      <c r="G22" s="64" t="s">
        <v>418</v>
      </c>
      <c r="H22" s="201">
        <v>87</v>
      </c>
      <c r="I22" s="200" t="s">
        <v>356</v>
      </c>
      <c r="J22" s="201">
        <v>122</v>
      </c>
      <c r="K22" s="64" t="s">
        <v>357</v>
      </c>
      <c r="L22" s="201">
        <f t="shared" si="1"/>
        <v>6035</v>
      </c>
    </row>
    <row r="23" ht="16" spans="1:12">
      <c r="A23" s="199" t="s">
        <v>41</v>
      </c>
      <c r="B23" s="200" t="s">
        <v>42</v>
      </c>
      <c r="C23" s="202">
        <v>138840</v>
      </c>
      <c r="D23" s="202" t="s">
        <v>340</v>
      </c>
      <c r="E23" s="203" t="s">
        <v>341</v>
      </c>
      <c r="F23" s="204">
        <v>35403</v>
      </c>
      <c r="G23" s="203" t="s">
        <v>342</v>
      </c>
      <c r="H23" s="204">
        <v>33735</v>
      </c>
      <c r="I23" s="202" t="s">
        <v>343</v>
      </c>
      <c r="J23" s="204">
        <v>19370</v>
      </c>
      <c r="K23" s="203" t="s">
        <v>344</v>
      </c>
      <c r="L23" s="204">
        <f t="shared" si="1"/>
        <v>50332</v>
      </c>
    </row>
    <row r="24" ht="16" spans="1:12">
      <c r="A24" s="199" t="s">
        <v>41</v>
      </c>
      <c r="B24" s="200" t="s">
        <v>43</v>
      </c>
      <c r="C24" s="200">
        <v>214724</v>
      </c>
      <c r="D24" s="200" t="s">
        <v>353</v>
      </c>
      <c r="E24" s="64" t="s">
        <v>417</v>
      </c>
      <c r="F24" s="201">
        <v>42733</v>
      </c>
      <c r="G24" s="64" t="s">
        <v>418</v>
      </c>
      <c r="H24" s="201">
        <v>73216</v>
      </c>
      <c r="I24" s="200" t="s">
        <v>356</v>
      </c>
      <c r="J24" s="201">
        <v>29365</v>
      </c>
      <c r="K24" s="64" t="s">
        <v>357</v>
      </c>
      <c r="L24" s="201">
        <f t="shared" si="1"/>
        <v>69410</v>
      </c>
    </row>
    <row r="25" ht="16" spans="1:12">
      <c r="A25" s="199" t="s">
        <v>41</v>
      </c>
      <c r="B25" s="200" t="s">
        <v>44</v>
      </c>
      <c r="C25" s="200">
        <v>469589</v>
      </c>
      <c r="D25" s="200" t="s">
        <v>353</v>
      </c>
      <c r="E25" s="64" t="s">
        <v>417</v>
      </c>
      <c r="F25" s="201">
        <v>121216</v>
      </c>
      <c r="G25" s="64" t="s">
        <v>418</v>
      </c>
      <c r="H25" s="201">
        <v>88411</v>
      </c>
      <c r="I25" s="200" t="s">
        <v>356</v>
      </c>
      <c r="J25" s="206">
        <v>136221</v>
      </c>
      <c r="K25" s="64" t="s">
        <v>357</v>
      </c>
      <c r="L25" s="206">
        <f t="shared" si="1"/>
        <v>123741</v>
      </c>
    </row>
    <row r="26" ht="16" spans="1:12">
      <c r="A26" s="199" t="s">
        <v>41</v>
      </c>
      <c r="B26" s="199" t="s">
        <v>359</v>
      </c>
      <c r="C26" s="200">
        <v>245086</v>
      </c>
      <c r="D26" s="200" t="s">
        <v>353</v>
      </c>
      <c r="E26" s="64" t="s">
        <v>417</v>
      </c>
      <c r="F26" s="201">
        <v>95805</v>
      </c>
      <c r="G26" s="64" t="s">
        <v>418</v>
      </c>
      <c r="H26" s="201">
        <v>41272</v>
      </c>
      <c r="I26" s="200" t="s">
        <v>356</v>
      </c>
      <c r="J26" s="201">
        <v>55116</v>
      </c>
      <c r="K26" s="64" t="s">
        <v>357</v>
      </c>
      <c r="L26" s="201">
        <f t="shared" si="1"/>
        <v>52893</v>
      </c>
    </row>
    <row r="27" ht="16" spans="1:12">
      <c r="A27" s="199" t="s">
        <v>41</v>
      </c>
      <c r="B27" s="200" t="s">
        <v>46</v>
      </c>
      <c r="C27" s="200">
        <v>25996</v>
      </c>
      <c r="D27" s="200" t="s">
        <v>353</v>
      </c>
      <c r="E27" s="64" t="s">
        <v>419</v>
      </c>
      <c r="F27" s="201">
        <v>25996</v>
      </c>
      <c r="G27" s="64"/>
      <c r="H27" s="64"/>
      <c r="I27" s="64"/>
      <c r="J27" s="64"/>
      <c r="K27" s="64"/>
      <c r="L27" s="64"/>
    </row>
    <row r="28" ht="16" spans="1:12">
      <c r="A28" s="199" t="s">
        <v>41</v>
      </c>
      <c r="B28" s="200" t="s">
        <v>47</v>
      </c>
      <c r="C28" s="200">
        <v>12169</v>
      </c>
      <c r="D28" s="200" t="s">
        <v>353</v>
      </c>
      <c r="E28" s="64" t="s">
        <v>419</v>
      </c>
      <c r="F28" s="201">
        <v>12169</v>
      </c>
      <c r="G28" s="64"/>
      <c r="H28" s="64"/>
      <c r="I28" s="64"/>
      <c r="J28" s="64"/>
      <c r="K28" s="64"/>
      <c r="L28" s="64"/>
    </row>
  </sheetData>
  <mergeCells count="4">
    <mergeCell ref="A1:L1"/>
    <mergeCell ref="A2:B2"/>
    <mergeCell ref="C2:D2"/>
    <mergeCell ref="G2:L2"/>
  </mergeCells>
  <dataValidations count="1">
    <dataValidation type="list" allowBlank="1" showErrorMessage="1" sqref="A4:A28">
      <formula1>"变美,健康,兴趣"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54A45"/>
    <outlinePr summaryBelow="0" summaryRight="0"/>
  </sheetPr>
  <dimension ref="A1:L126"/>
  <sheetViews>
    <sheetView workbookViewId="0">
      <selection activeCell="A1" sqref="A1"/>
    </sheetView>
  </sheetViews>
  <sheetFormatPr defaultColWidth="14" defaultRowHeight="15.2"/>
  <cols>
    <col min="2" max="2" width="30" customWidth="1"/>
    <col min="3" max="3" width="40" customWidth="1"/>
    <col min="4" max="4" width="47" customWidth="1"/>
    <col min="5" max="6" width="51" customWidth="1"/>
    <col min="7" max="7" width="46" customWidth="1"/>
    <col min="8" max="8" width="43" customWidth="1"/>
    <col min="9" max="9" width="40" customWidth="1"/>
    <col min="12" max="12" width="46" customWidth="1"/>
  </cols>
  <sheetData>
    <row r="1" ht="87" customHeight="1" spans="1:10">
      <c r="A1" s="76" t="s">
        <v>420</v>
      </c>
      <c r="B1" s="77" t="s">
        <v>421</v>
      </c>
      <c r="C1" s="77"/>
      <c r="D1" s="77"/>
      <c r="E1" s="77"/>
      <c r="F1" s="77"/>
      <c r="G1" s="77"/>
      <c r="H1" s="77"/>
      <c r="I1" s="77"/>
    </row>
    <row r="2" ht="37" customHeight="1" spans="1:10">
      <c r="A2" s="78" t="s">
        <v>422</v>
      </c>
      <c r="B2" s="78"/>
      <c r="C2" s="78"/>
      <c r="D2" s="78"/>
      <c r="E2" s="78"/>
      <c r="F2" s="78"/>
      <c r="G2" s="78"/>
      <c r="H2" s="78"/>
      <c r="I2" s="78"/>
      <c r="J2" s="78"/>
    </row>
    <row r="3" ht="17.6" spans="1:10">
      <c r="A3" s="134" t="s">
        <v>56</v>
      </c>
      <c r="B3" s="6" t="s">
        <v>57</v>
      </c>
      <c r="C3" s="135" t="s">
        <v>58</v>
      </c>
      <c r="D3" s="135" t="s">
        <v>59</v>
      </c>
      <c r="E3" s="135" t="s">
        <v>60</v>
      </c>
      <c r="F3" s="135" t="s">
        <v>61</v>
      </c>
      <c r="G3" s="135" t="s">
        <v>62</v>
      </c>
      <c r="H3" s="135" t="s">
        <v>63</v>
      </c>
      <c r="I3" s="135" t="s">
        <v>64</v>
      </c>
    </row>
    <row r="4" ht="17.6" spans="1:10">
      <c r="A4" s="136" t="s">
        <v>65</v>
      </c>
      <c r="B4" s="6"/>
      <c r="C4" s="135">
        <v>27</v>
      </c>
      <c r="D4" s="135">
        <v>28</v>
      </c>
      <c r="E4" s="135">
        <v>29</v>
      </c>
      <c r="F4" s="135">
        <v>30</v>
      </c>
      <c r="G4" s="135">
        <v>1</v>
      </c>
      <c r="H4" s="135">
        <v>2</v>
      </c>
      <c r="I4" s="135">
        <v>3</v>
      </c>
    </row>
    <row r="5" ht="129" spans="1:10">
      <c r="A5" s="137" t="s">
        <v>66</v>
      </c>
      <c r="B5" s="6"/>
      <c r="C5" s="138"/>
      <c r="D5" s="139" t="s">
        <v>67</v>
      </c>
      <c r="E5" s="140" t="s">
        <v>423</v>
      </c>
      <c r="F5" s="139" t="s">
        <v>68</v>
      </c>
      <c r="G5" s="81"/>
      <c r="H5" s="81"/>
      <c r="I5" s="141" t="s">
        <v>424</v>
      </c>
    </row>
    <row r="6" ht="26" customHeight="1" spans="1:10">
      <c r="A6" s="137"/>
      <c r="B6" s="17" t="s">
        <v>72</v>
      </c>
      <c r="C6" s="142"/>
      <c r="D6" s="142" t="s">
        <v>73</v>
      </c>
      <c r="E6" s="142" t="s">
        <v>73</v>
      </c>
      <c r="F6" s="142" t="s">
        <v>74</v>
      </c>
      <c r="G6" s="81"/>
      <c r="H6" s="81"/>
      <c r="I6" s="143" t="s">
        <v>74</v>
      </c>
    </row>
    <row r="7" ht="26" customHeight="1" spans="1:10">
      <c r="A7" s="137"/>
      <c r="B7" s="20" t="s">
        <v>75</v>
      </c>
      <c r="C7" s="142"/>
      <c r="D7" s="144">
        <v>532403</v>
      </c>
      <c r="E7" s="142">
        <f>63573+118835+168267</f>
        <v>350675</v>
      </c>
      <c r="F7" s="144">
        <f>113349+266879+128473</f>
        <v>508701</v>
      </c>
      <c r="G7" s="81"/>
      <c r="H7" s="81"/>
      <c r="I7" s="144">
        <f>18353+199056+85344</f>
        <v>302753</v>
      </c>
    </row>
    <row r="8" ht="130" customHeight="1" spans="1:10">
      <c r="A8" s="137"/>
      <c r="B8" s="24" t="s">
        <v>76</v>
      </c>
      <c r="C8" s="142"/>
      <c r="D8" s="145" t="s">
        <v>425</v>
      </c>
      <c r="E8" s="90" t="s">
        <v>426</v>
      </c>
      <c r="F8" s="145"/>
      <c r="G8" s="81"/>
      <c r="H8" s="81"/>
      <c r="I8" s="81"/>
    </row>
    <row r="9" ht="128" customHeight="1" spans="1:10">
      <c r="A9" s="137"/>
      <c r="B9" s="28" t="s">
        <v>82</v>
      </c>
      <c r="C9" s="142"/>
      <c r="D9" s="145"/>
      <c r="E9" s="142"/>
      <c r="F9" s="145" t="s">
        <v>427</v>
      </c>
      <c r="G9" s="81"/>
      <c r="H9" s="81"/>
      <c r="I9" s="81" t="s">
        <v>428</v>
      </c>
    </row>
    <row r="10" ht="90" customHeight="1" spans="1:10">
      <c r="A10" s="137" t="s">
        <v>84</v>
      </c>
      <c r="B10" s="146" t="s">
        <v>85</v>
      </c>
      <c r="C10" s="147" t="s">
        <v>429</v>
      </c>
      <c r="D10" s="145"/>
      <c r="E10" s="147" t="s">
        <v>430</v>
      </c>
      <c r="F10" s="145"/>
      <c r="G10" s="81"/>
      <c r="H10" s="81"/>
      <c r="I10" s="81"/>
    </row>
    <row r="11" ht="27" customHeight="1" spans="1:10">
      <c r="A11" s="137"/>
      <c r="B11" s="17" t="s">
        <v>72</v>
      </c>
      <c r="C11" s="142" t="s">
        <v>88</v>
      </c>
      <c r="D11" s="145"/>
      <c r="E11" s="142" t="s">
        <v>431</v>
      </c>
      <c r="F11" s="145"/>
      <c r="G11" s="81"/>
      <c r="H11" s="81"/>
      <c r="I11" s="81"/>
    </row>
    <row r="12" ht="27" customHeight="1" spans="1:10">
      <c r="A12" s="137"/>
      <c r="B12" s="20" t="s">
        <v>75</v>
      </c>
      <c r="C12" s="142">
        <f>214566+216188+130710</f>
        <v>561464</v>
      </c>
      <c r="D12" s="145"/>
      <c r="E12" s="142">
        <f>36858+49193+105612+144099</f>
        <v>335762</v>
      </c>
      <c r="F12" s="145"/>
      <c r="G12" s="81"/>
      <c r="H12" s="81"/>
      <c r="I12" s="81"/>
    </row>
    <row r="13" ht="27" customHeight="1" spans="1:10">
      <c r="A13" s="137"/>
      <c r="B13" s="24" t="s">
        <v>76</v>
      </c>
      <c r="C13" s="142"/>
      <c r="D13" s="145"/>
      <c r="E13" s="142"/>
      <c r="F13" s="145"/>
      <c r="G13" s="81"/>
      <c r="H13" s="81"/>
      <c r="I13" s="81"/>
    </row>
    <row r="14" ht="98" customHeight="1" spans="1:10">
      <c r="A14" s="137"/>
      <c r="B14" s="28" t="s">
        <v>82</v>
      </c>
      <c r="C14" s="142"/>
      <c r="D14" s="145"/>
      <c r="F14" s="145"/>
      <c r="G14" s="81"/>
      <c r="H14" s="81"/>
      <c r="I14" s="81"/>
    </row>
    <row r="15" ht="150" customHeight="1" spans="1:10">
      <c r="A15" s="137"/>
      <c r="B15" s="39" t="s">
        <v>89</v>
      </c>
      <c r="C15" s="90" t="s">
        <v>432</v>
      </c>
      <c r="D15" s="145"/>
      <c r="E15" s="90" t="s">
        <v>433</v>
      </c>
      <c r="F15" s="145"/>
      <c r="G15" s="122"/>
      <c r="H15" s="81"/>
      <c r="I15" s="81"/>
    </row>
    <row r="16" ht="144" spans="1:10">
      <c r="A16" s="137" t="s">
        <v>434</v>
      </c>
      <c r="B16" s="146" t="s">
        <v>85</v>
      </c>
      <c r="C16" s="145"/>
      <c r="D16" s="148" t="s">
        <v>435</v>
      </c>
      <c r="E16" s="148" t="s">
        <v>436</v>
      </c>
      <c r="F16" s="149" t="s">
        <v>437</v>
      </c>
      <c r="G16" s="81"/>
      <c r="H16" s="150" t="s">
        <v>438</v>
      </c>
      <c r="I16" s="150" t="s">
        <v>439</v>
      </c>
    </row>
    <row r="17" ht="49" customHeight="1" spans="1:12">
      <c r="A17" s="137"/>
      <c r="B17" s="17" t="s">
        <v>72</v>
      </c>
      <c r="C17" s="81"/>
      <c r="D17" s="143" t="s">
        <v>73</v>
      </c>
      <c r="E17" s="143" t="s">
        <v>73</v>
      </c>
      <c r="F17" s="151" t="s">
        <v>88</v>
      </c>
      <c r="G17" s="81"/>
      <c r="H17" s="152" t="s">
        <v>73</v>
      </c>
      <c r="I17" s="143" t="s">
        <v>74</v>
      </c>
      <c r="L17" s="153"/>
    </row>
    <row r="18" ht="49" customHeight="1" spans="1:12">
      <c r="A18" s="137"/>
      <c r="B18" s="20" t="s">
        <v>75</v>
      </c>
      <c r="C18" s="81"/>
      <c r="D18" s="143">
        <f>50739+102746+19211+277913</f>
        <v>450609</v>
      </c>
      <c r="E18" s="143">
        <f>79727+257584+75959</f>
        <v>413270</v>
      </c>
      <c r="F18" s="154">
        <f>137210+245321+104516</f>
        <v>487047</v>
      </c>
      <c r="G18" s="81"/>
      <c r="H18" s="154">
        <v>436420</v>
      </c>
      <c r="I18" s="154">
        <f>321936+81681</f>
        <v>403617</v>
      </c>
      <c r="L18" s="155"/>
    </row>
    <row r="19" ht="133" customHeight="1" spans="1:12">
      <c r="A19" s="137"/>
      <c r="B19" s="24" t="s">
        <v>76</v>
      </c>
      <c r="C19" s="81"/>
      <c r="D19" s="156" t="s">
        <v>440</v>
      </c>
      <c r="E19" s="157" t="s">
        <v>441</v>
      </c>
      <c r="F19" s="95"/>
      <c r="G19" s="81"/>
      <c r="H19" s="157" t="s">
        <v>442</v>
      </c>
      <c r="I19" s="143"/>
      <c r="L19" s="158"/>
    </row>
    <row r="20" ht="100" customHeight="1" spans="1:12">
      <c r="A20" s="137"/>
      <c r="B20" s="28" t="s">
        <v>82</v>
      </c>
      <c r="C20" s="81"/>
      <c r="D20" s="143"/>
      <c r="E20" s="159"/>
      <c r="F20" s="160"/>
      <c r="G20" s="81"/>
      <c r="H20" s="161"/>
      <c r="I20" s="162" t="s">
        <v>443</v>
      </c>
      <c r="L20" s="153"/>
    </row>
    <row r="21" ht="144" customHeight="1" spans="1:12">
      <c r="A21" s="137"/>
      <c r="B21" s="39" t="s">
        <v>89</v>
      </c>
      <c r="C21" s="81"/>
      <c r="D21" s="143"/>
      <c r="E21" s="143"/>
      <c r="F21" s="163" t="s">
        <v>444</v>
      </c>
      <c r="G21" s="81"/>
      <c r="H21" s="161"/>
      <c r="I21" s="162"/>
      <c r="L21" s="162"/>
    </row>
    <row r="22" ht="20.4" spans="1:12">
      <c r="A22" s="164" t="s">
        <v>375</v>
      </c>
      <c r="B22" s="164"/>
      <c r="C22" s="81"/>
      <c r="D22" s="165"/>
      <c r="E22" s="165"/>
      <c r="G22" s="108"/>
      <c r="H22" s="81"/>
      <c r="I22" s="81"/>
    </row>
    <row r="23" ht="38" customHeight="1" spans="1:12">
      <c r="A23" s="137"/>
      <c r="B23" s="17" t="s">
        <v>445</v>
      </c>
      <c r="C23" s="81"/>
      <c r="D23" s="142"/>
      <c r="E23" s="166"/>
      <c r="G23" s="161"/>
      <c r="H23" s="81"/>
      <c r="I23" s="81"/>
    </row>
    <row r="24" ht="62" spans="1:12">
      <c r="A24" s="137" t="s">
        <v>446</v>
      </c>
      <c r="B24" s="137"/>
      <c r="C24" s="81"/>
      <c r="D24" s="167" t="s">
        <v>447</v>
      </c>
      <c r="E24" s="168" t="s">
        <v>448</v>
      </c>
      <c r="F24" s="169"/>
      <c r="G24" s="161"/>
      <c r="H24" s="81"/>
      <c r="I24" s="81"/>
    </row>
    <row r="25" ht="38" customHeight="1" spans="1:12">
      <c r="A25" s="137"/>
      <c r="B25" s="17" t="s">
        <v>445</v>
      </c>
      <c r="C25" s="81"/>
      <c r="D25" s="143" t="s">
        <v>88</v>
      </c>
      <c r="E25" s="159" t="s">
        <v>88</v>
      </c>
      <c r="F25" s="81"/>
      <c r="G25" s="161"/>
      <c r="H25" s="81"/>
      <c r="I25" s="81"/>
    </row>
    <row r="26" ht="19" hidden="1" customHeight="1" spans="1:12">
      <c r="A26" s="134" t="s">
        <v>56</v>
      </c>
      <c r="B26" s="135"/>
      <c r="C26" s="135" t="s">
        <v>58</v>
      </c>
      <c r="D26" s="135" t="s">
        <v>59</v>
      </c>
      <c r="E26" s="135" t="s">
        <v>60</v>
      </c>
      <c r="F26" s="135" t="s">
        <v>61</v>
      </c>
      <c r="G26" s="170" t="s">
        <v>62</v>
      </c>
      <c r="H26" s="170" t="s">
        <v>63</v>
      </c>
      <c r="I26" s="170" t="s">
        <v>64</v>
      </c>
    </row>
    <row r="27" ht="19" hidden="1" customHeight="1" spans="1:12">
      <c r="A27" s="136" t="s">
        <v>65</v>
      </c>
      <c r="B27" s="135"/>
      <c r="C27" s="135">
        <v>4</v>
      </c>
      <c r="D27" s="171">
        <v>5</v>
      </c>
      <c r="E27" s="171">
        <v>6</v>
      </c>
      <c r="F27" s="135">
        <v>7</v>
      </c>
      <c r="G27" s="135">
        <v>8</v>
      </c>
      <c r="H27" s="135">
        <v>9</v>
      </c>
      <c r="I27" s="135">
        <v>10</v>
      </c>
    </row>
    <row r="28" ht="19" hidden="1" customHeight="1" spans="1:12">
      <c r="A28" s="137" t="s">
        <v>66</v>
      </c>
      <c r="B28" s="141"/>
      <c r="C28" s="141" t="s">
        <v>449</v>
      </c>
      <c r="D28" s="141" t="s">
        <v>450</v>
      </c>
      <c r="E28" s="172" t="s">
        <v>451</v>
      </c>
      <c r="F28" s="172" t="s">
        <v>452</v>
      </c>
      <c r="G28" s="172" t="s">
        <v>453</v>
      </c>
      <c r="H28" s="81"/>
      <c r="I28" s="81"/>
    </row>
    <row r="29" ht="19" hidden="1" customHeight="1" spans="1:12">
      <c r="A29" s="137" t="s">
        <v>84</v>
      </c>
      <c r="B29" s="173"/>
      <c r="C29" s="173"/>
      <c r="D29" s="173"/>
      <c r="E29" s="174" t="s">
        <v>371</v>
      </c>
      <c r="F29" s="161"/>
      <c r="G29" s="175" t="s">
        <v>370</v>
      </c>
      <c r="H29" s="81"/>
      <c r="I29" s="81"/>
    </row>
    <row r="30" ht="19" hidden="1" customHeight="1" spans="1:12">
      <c r="A30" s="137" t="s">
        <v>434</v>
      </c>
      <c r="B30" s="173"/>
      <c r="C30" s="173"/>
      <c r="D30" s="173"/>
      <c r="E30" s="176"/>
      <c r="F30" s="161"/>
      <c r="G30" s="177" t="s">
        <v>454</v>
      </c>
      <c r="H30" s="81"/>
      <c r="I30" s="81"/>
    </row>
    <row r="31" ht="19" hidden="1" customHeight="1" spans="1:12">
      <c r="A31" s="137" t="s">
        <v>455</v>
      </c>
      <c r="B31" s="173"/>
      <c r="C31" s="173"/>
      <c r="D31" s="173"/>
      <c r="E31" s="178" t="s">
        <v>376</v>
      </c>
      <c r="F31" s="179" t="s">
        <v>377</v>
      </c>
      <c r="G31" s="64"/>
      <c r="H31" s="81"/>
      <c r="I31" s="81"/>
    </row>
    <row r="32" ht="132" hidden="1" customHeight="1" spans="1:12">
      <c r="A32" s="137" t="s">
        <v>456</v>
      </c>
      <c r="B32" s="180"/>
      <c r="C32" s="180"/>
      <c r="D32" s="181"/>
      <c r="E32" s="142" t="s">
        <v>74</v>
      </c>
      <c r="F32" s="161"/>
      <c r="G32" s="81"/>
      <c r="H32" s="180"/>
      <c r="I32" s="81"/>
    </row>
    <row r="33" ht="19" hidden="1" customHeight="1" spans="1:9">
      <c r="A33" s="137" t="s">
        <v>457</v>
      </c>
      <c r="B33" s="141"/>
      <c r="C33" s="141"/>
      <c r="F33" s="182" t="s">
        <v>458</v>
      </c>
      <c r="G33" s="81"/>
      <c r="H33" s="180"/>
      <c r="I33" s="81"/>
    </row>
    <row r="34" ht="19" hidden="1" customHeight="1" spans="1:9">
      <c r="A34" s="137" t="s">
        <v>103</v>
      </c>
      <c r="B34" s="141"/>
      <c r="C34" s="141" t="s">
        <v>459</v>
      </c>
      <c r="D34" s="182" t="s">
        <v>460</v>
      </c>
      <c r="E34" s="81"/>
      <c r="F34" s="161"/>
      <c r="G34" s="81"/>
      <c r="H34" s="141" t="s">
        <v>461</v>
      </c>
      <c r="I34" s="81"/>
    </row>
    <row r="36" ht="20.4" spans="1:9">
      <c r="A36" s="66" t="s">
        <v>141</v>
      </c>
      <c r="B36" s="65" t="s">
        <v>142</v>
      </c>
      <c r="C36" s="64">
        <v>13</v>
      </c>
      <c r="D36" s="64">
        <f>13/249</f>
        <v>0.0522088353413655</v>
      </c>
      <c r="E36" s="66"/>
    </row>
    <row r="37" ht="20.4" spans="1:9">
      <c r="A37" s="109" t="s">
        <v>462</v>
      </c>
      <c r="B37" s="67" t="s">
        <v>463</v>
      </c>
      <c r="C37" s="67" t="s">
        <v>464</v>
      </c>
      <c r="D37" s="66" t="s">
        <v>465</v>
      </c>
      <c r="E37" s="64"/>
    </row>
    <row r="38" ht="20.4" spans="1:9">
      <c r="A38" s="109"/>
      <c r="B38" s="67" t="s">
        <v>466</v>
      </c>
      <c r="C38" s="67" t="s">
        <v>467</v>
      </c>
      <c r="D38" s="66" t="s">
        <v>468</v>
      </c>
      <c r="E38" s="64"/>
    </row>
    <row r="39" ht="20.4" spans="1:9">
      <c r="A39" s="109"/>
      <c r="B39" s="65" t="s">
        <v>246</v>
      </c>
      <c r="C39" s="65" t="s">
        <v>150</v>
      </c>
      <c r="D39" s="65" t="s">
        <v>151</v>
      </c>
      <c r="E39" s="65" t="s">
        <v>152</v>
      </c>
    </row>
    <row r="40" ht="18" spans="1:9">
      <c r="A40" s="109"/>
      <c r="B40" s="63" t="s">
        <v>469</v>
      </c>
      <c r="C40" s="63" t="s">
        <v>470</v>
      </c>
      <c r="D40" s="63" t="s">
        <v>471</v>
      </c>
      <c r="E40" s="63" t="s">
        <v>472</v>
      </c>
    </row>
    <row r="41" ht="18" spans="1:9">
      <c r="A41" s="109"/>
      <c r="B41" s="63" t="s">
        <v>473</v>
      </c>
      <c r="C41" s="63" t="s">
        <v>474</v>
      </c>
      <c r="D41" s="63" t="s">
        <v>475</v>
      </c>
      <c r="E41" s="63" t="s">
        <v>476</v>
      </c>
    </row>
    <row r="42" ht="18" spans="1:9">
      <c r="A42" s="109"/>
      <c r="B42" s="63" t="s">
        <v>477</v>
      </c>
      <c r="C42" s="63" t="s">
        <v>478</v>
      </c>
      <c r="D42" s="63" t="s">
        <v>479</v>
      </c>
      <c r="E42" s="63" t="s">
        <v>480</v>
      </c>
    </row>
    <row r="43" ht="18" spans="1:9">
      <c r="A43" s="109"/>
      <c r="B43" s="183" t="s">
        <v>481</v>
      </c>
      <c r="C43" s="183" t="s">
        <v>482</v>
      </c>
      <c r="D43" s="183" t="s">
        <v>483</v>
      </c>
      <c r="E43" s="183" t="s">
        <v>484</v>
      </c>
    </row>
    <row r="44" ht="20.4" spans="1:9">
      <c r="A44" s="66" t="s">
        <v>141</v>
      </c>
      <c r="B44" s="65" t="s">
        <v>142</v>
      </c>
      <c r="C44" s="64">
        <v>2</v>
      </c>
      <c r="D44" s="64"/>
      <c r="E44" s="66"/>
    </row>
    <row r="45" ht="20.4" spans="1:9">
      <c r="A45" s="109" t="s">
        <v>485</v>
      </c>
      <c r="B45" s="67" t="s">
        <v>486</v>
      </c>
      <c r="C45" s="67" t="s">
        <v>487</v>
      </c>
      <c r="D45" s="66" t="s">
        <v>488</v>
      </c>
      <c r="E45" s="64"/>
    </row>
    <row r="46" ht="20.4" spans="1:9">
      <c r="A46" s="109"/>
      <c r="B46" s="67" t="s">
        <v>489</v>
      </c>
      <c r="C46" s="67" t="s">
        <v>490</v>
      </c>
      <c r="D46" s="66" t="s">
        <v>491</v>
      </c>
      <c r="E46" s="64"/>
    </row>
    <row r="47" ht="20.4" spans="1:9">
      <c r="A47" s="109"/>
      <c r="B47" s="65" t="s">
        <v>246</v>
      </c>
      <c r="C47" s="65" t="s">
        <v>150</v>
      </c>
      <c r="D47" s="65" t="s">
        <v>151</v>
      </c>
      <c r="E47" s="65" t="s">
        <v>152</v>
      </c>
    </row>
    <row r="48" ht="18" spans="1:9">
      <c r="A48" s="109"/>
      <c r="B48" s="63" t="s">
        <v>492</v>
      </c>
      <c r="C48" s="63" t="s">
        <v>493</v>
      </c>
      <c r="D48" s="63" t="s">
        <v>494</v>
      </c>
      <c r="E48" s="63" t="s">
        <v>495</v>
      </c>
    </row>
    <row r="49" ht="18" spans="1:6">
      <c r="A49" s="109"/>
      <c r="B49" s="63" t="s">
        <v>496</v>
      </c>
      <c r="C49" s="63" t="s">
        <v>497</v>
      </c>
      <c r="D49" s="63" t="s">
        <v>498</v>
      </c>
      <c r="E49" s="63" t="s">
        <v>499</v>
      </c>
    </row>
    <row r="50" ht="18" spans="1:6">
      <c r="A50" s="109"/>
      <c r="B50" s="183" t="s">
        <v>500</v>
      </c>
      <c r="C50" s="183" t="s">
        <v>501</v>
      </c>
      <c r="D50" s="183" t="s">
        <v>502</v>
      </c>
      <c r="E50" s="183" t="s">
        <v>503</v>
      </c>
    </row>
    <row r="51" ht="18" spans="1:6">
      <c r="A51" s="109"/>
      <c r="B51" s="63" t="s">
        <v>504</v>
      </c>
      <c r="C51" s="63" t="s">
        <v>505</v>
      </c>
      <c r="D51" s="63" t="s">
        <v>506</v>
      </c>
      <c r="E51" s="63" t="s">
        <v>507</v>
      </c>
    </row>
    <row r="52" ht="20.4" spans="1:6">
      <c r="A52" s="109" t="s">
        <v>508</v>
      </c>
      <c r="B52" s="67" t="s">
        <v>509</v>
      </c>
      <c r="C52" s="67" t="s">
        <v>510</v>
      </c>
      <c r="D52" s="66" t="s">
        <v>511</v>
      </c>
      <c r="E52" s="64"/>
      <c r="F52" s="64">
        <v>3</v>
      </c>
    </row>
    <row r="53" ht="20.4" spans="1:6">
      <c r="A53" s="109"/>
      <c r="B53" s="67" t="s">
        <v>512</v>
      </c>
      <c r="C53" s="67" t="s">
        <v>513</v>
      </c>
      <c r="D53" s="66" t="s">
        <v>514</v>
      </c>
      <c r="E53" s="64"/>
    </row>
    <row r="54" ht="20.4" spans="1:6">
      <c r="A54" s="109"/>
      <c r="B54" s="65" t="s">
        <v>246</v>
      </c>
      <c r="C54" s="65" t="s">
        <v>150</v>
      </c>
      <c r="D54" s="65" t="s">
        <v>151</v>
      </c>
      <c r="E54" s="65" t="s">
        <v>152</v>
      </c>
    </row>
    <row r="55" ht="18" spans="1:6">
      <c r="A55" s="109"/>
      <c r="B55" s="63" t="s">
        <v>515</v>
      </c>
      <c r="C55" s="63" t="s">
        <v>516</v>
      </c>
      <c r="D55" s="63" t="s">
        <v>517</v>
      </c>
      <c r="E55" s="63" t="s">
        <v>518</v>
      </c>
    </row>
    <row r="56" ht="18" spans="1:6">
      <c r="A56" s="109"/>
      <c r="B56" s="63" t="s">
        <v>519</v>
      </c>
      <c r="C56" s="63" t="s">
        <v>520</v>
      </c>
      <c r="D56" s="63" t="s">
        <v>521</v>
      </c>
      <c r="E56" s="63" t="s">
        <v>522</v>
      </c>
    </row>
    <row r="57" ht="18" spans="1:6">
      <c r="A57" s="109"/>
      <c r="B57" s="63" t="s">
        <v>523</v>
      </c>
      <c r="C57" s="63" t="s">
        <v>524</v>
      </c>
      <c r="D57" s="63" t="s">
        <v>525</v>
      </c>
      <c r="E57" s="63" t="s">
        <v>526</v>
      </c>
    </row>
    <row r="58" ht="18" spans="1:6">
      <c r="A58" s="109"/>
      <c r="B58" s="63" t="s">
        <v>527</v>
      </c>
      <c r="C58" s="63" t="s">
        <v>528</v>
      </c>
      <c r="D58" s="63" t="s">
        <v>529</v>
      </c>
      <c r="E58" s="63" t="s">
        <v>530</v>
      </c>
    </row>
    <row r="59" ht="20.4" spans="1:6">
      <c r="A59" s="66" t="s">
        <v>141</v>
      </c>
      <c r="B59" s="65" t="s">
        <v>142</v>
      </c>
      <c r="C59" s="64"/>
      <c r="D59" s="64"/>
      <c r="E59" s="66">
        <v>6</v>
      </c>
    </row>
    <row r="60" ht="20.4" spans="1:6">
      <c r="A60" s="109" t="s">
        <v>531</v>
      </c>
      <c r="B60" s="67" t="s">
        <v>532</v>
      </c>
      <c r="C60" s="67" t="s">
        <v>533</v>
      </c>
      <c r="D60" s="66" t="s">
        <v>534</v>
      </c>
      <c r="E60" s="64"/>
    </row>
    <row r="61" ht="20.4" spans="1:6">
      <c r="A61" s="109"/>
      <c r="B61" s="67" t="s">
        <v>535</v>
      </c>
      <c r="C61" s="67" t="s">
        <v>536</v>
      </c>
      <c r="D61" s="66" t="s">
        <v>537</v>
      </c>
      <c r="E61" s="64"/>
    </row>
    <row r="62" ht="20.4" spans="1:6">
      <c r="A62" s="109"/>
      <c r="B62" s="65" t="s">
        <v>246</v>
      </c>
      <c r="C62" s="65" t="s">
        <v>150</v>
      </c>
      <c r="D62" s="65" t="s">
        <v>151</v>
      </c>
      <c r="E62" s="65" t="s">
        <v>152</v>
      </c>
    </row>
    <row r="63" ht="18" spans="1:6">
      <c r="A63" s="109"/>
      <c r="B63" s="63" t="s">
        <v>538</v>
      </c>
      <c r="C63" s="63" t="s">
        <v>539</v>
      </c>
      <c r="D63" s="63" t="s">
        <v>540</v>
      </c>
      <c r="E63" s="63" t="s">
        <v>541</v>
      </c>
    </row>
    <row r="64" ht="18" spans="1:6">
      <c r="A64" s="109"/>
      <c r="B64" s="63" t="s">
        <v>542</v>
      </c>
      <c r="C64" s="63" t="s">
        <v>543</v>
      </c>
      <c r="D64" s="63" t="s">
        <v>544</v>
      </c>
      <c r="E64" s="63" t="s">
        <v>545</v>
      </c>
    </row>
    <row r="65" ht="18" spans="1:5">
      <c r="A65" s="109"/>
      <c r="B65" s="63" t="s">
        <v>546</v>
      </c>
      <c r="C65" s="63" t="s">
        <v>547</v>
      </c>
      <c r="D65" s="63" t="s">
        <v>548</v>
      </c>
      <c r="E65" s="63" t="s">
        <v>549</v>
      </c>
    </row>
    <row r="66" ht="18" spans="1:5">
      <c r="A66" s="109"/>
      <c r="B66" s="63" t="s">
        <v>550</v>
      </c>
      <c r="C66" s="63" t="s">
        <v>551</v>
      </c>
      <c r="D66" s="63" t="s">
        <v>552</v>
      </c>
      <c r="E66" s="63" t="s">
        <v>553</v>
      </c>
    </row>
    <row r="67" ht="20.4" spans="1:5">
      <c r="A67" s="66" t="s">
        <v>141</v>
      </c>
      <c r="B67" s="65" t="s">
        <v>142</v>
      </c>
      <c r="C67" s="64"/>
      <c r="D67" s="64"/>
      <c r="E67" s="66"/>
    </row>
    <row r="68" ht="18" spans="1:5">
      <c r="A68" s="109" t="s">
        <v>554</v>
      </c>
      <c r="B68" s="67" t="s">
        <v>555</v>
      </c>
      <c r="C68" s="184" t="s">
        <v>556</v>
      </c>
      <c r="D68" s="184" t="s">
        <v>557</v>
      </c>
      <c r="E68" s="184" t="s">
        <v>558</v>
      </c>
    </row>
    <row r="69" ht="18" spans="1:5">
      <c r="A69" s="109"/>
      <c r="B69" s="67" t="s">
        <v>559</v>
      </c>
      <c r="C69" s="184" t="s">
        <v>560</v>
      </c>
      <c r="D69" s="184" t="s">
        <v>561</v>
      </c>
      <c r="E69" s="184" t="s">
        <v>562</v>
      </c>
    </row>
    <row r="70" ht="20.4" spans="1:5">
      <c r="A70" s="109"/>
      <c r="B70" s="65" t="s">
        <v>142</v>
      </c>
      <c r="C70" s="65" t="s">
        <v>150</v>
      </c>
      <c r="D70" s="65" t="s">
        <v>151</v>
      </c>
      <c r="E70" s="65" t="s">
        <v>152</v>
      </c>
    </row>
    <row r="71" ht="18" spans="1:5">
      <c r="A71" s="109"/>
      <c r="B71" s="184" t="s">
        <v>563</v>
      </c>
      <c r="C71" s="184" t="s">
        <v>556</v>
      </c>
      <c r="D71" s="184" t="s">
        <v>557</v>
      </c>
      <c r="E71" s="184" t="s">
        <v>558</v>
      </c>
    </row>
    <row r="72" ht="18" spans="1:5">
      <c r="A72" s="109"/>
      <c r="B72" s="184" t="s">
        <v>564</v>
      </c>
      <c r="C72" s="184" t="s">
        <v>560</v>
      </c>
      <c r="D72" s="184" t="s">
        <v>561</v>
      </c>
      <c r="E72" s="184" t="s">
        <v>562</v>
      </c>
    </row>
    <row r="73" ht="18" spans="1:5">
      <c r="A73" s="109"/>
      <c r="B73" s="184" t="s">
        <v>565</v>
      </c>
      <c r="C73" s="184" t="s">
        <v>566</v>
      </c>
      <c r="D73" s="184" t="s">
        <v>567</v>
      </c>
      <c r="E73" s="184" t="s">
        <v>568</v>
      </c>
    </row>
    <row r="74" ht="18" spans="1:5">
      <c r="A74" s="109"/>
      <c r="B74" s="184" t="s">
        <v>569</v>
      </c>
      <c r="C74" s="184" t="s">
        <v>570</v>
      </c>
      <c r="D74" s="184" t="s">
        <v>571</v>
      </c>
      <c r="E74" s="184" t="s">
        <v>572</v>
      </c>
    </row>
    <row r="75" ht="18" spans="1:5">
      <c r="A75" s="109"/>
      <c r="B75" s="184" t="s">
        <v>573</v>
      </c>
      <c r="C75" s="184" t="s">
        <v>574</v>
      </c>
      <c r="D75" s="184" t="s">
        <v>575</v>
      </c>
      <c r="E75" s="184" t="s">
        <v>576</v>
      </c>
    </row>
    <row r="76" ht="20.4" spans="1:5">
      <c r="A76" s="66" t="s">
        <v>141</v>
      </c>
      <c r="B76" s="65" t="s">
        <v>142</v>
      </c>
      <c r="C76" s="64">
        <v>15</v>
      </c>
      <c r="D76" s="64">
        <f>15/191</f>
        <v>0.0785340314136126</v>
      </c>
      <c r="E76" s="66"/>
    </row>
    <row r="77" ht="34" spans="1:5">
      <c r="A77" s="109" t="s">
        <v>577</v>
      </c>
      <c r="B77" s="67" t="s">
        <v>578</v>
      </c>
      <c r="C77" s="185" t="s">
        <v>579</v>
      </c>
      <c r="D77" s="63" t="s">
        <v>580</v>
      </c>
      <c r="E77" s="63"/>
    </row>
    <row r="78" ht="34" spans="1:5">
      <c r="A78" s="109"/>
      <c r="B78" s="67" t="s">
        <v>581</v>
      </c>
      <c r="C78" s="114" t="s">
        <v>582</v>
      </c>
      <c r="D78" s="63" t="s">
        <v>583</v>
      </c>
      <c r="E78" s="63"/>
    </row>
    <row r="79" ht="20.4" spans="1:5">
      <c r="A79" s="109"/>
      <c r="B79" s="65" t="s">
        <v>142</v>
      </c>
      <c r="C79" s="65" t="s">
        <v>150</v>
      </c>
      <c r="D79" s="65" t="s">
        <v>151</v>
      </c>
      <c r="E79" s="65" t="s">
        <v>152</v>
      </c>
    </row>
    <row r="80" ht="18" spans="1:5">
      <c r="A80" s="109"/>
      <c r="B80" s="112" t="s">
        <v>584</v>
      </c>
      <c r="C80" s="63" t="s">
        <v>585</v>
      </c>
      <c r="D80" s="63" t="s">
        <v>586</v>
      </c>
      <c r="E80" s="63" t="s">
        <v>587</v>
      </c>
    </row>
    <row r="81" ht="18" spans="1:5">
      <c r="A81" s="109"/>
      <c r="B81" s="112" t="s">
        <v>588</v>
      </c>
      <c r="C81" s="63" t="s">
        <v>589</v>
      </c>
      <c r="D81" s="63" t="s">
        <v>590</v>
      </c>
      <c r="E81" s="63" t="s">
        <v>591</v>
      </c>
    </row>
    <row r="82" ht="18" spans="1:5">
      <c r="A82" s="109"/>
      <c r="B82" s="112" t="s">
        <v>592</v>
      </c>
      <c r="C82" s="63" t="s">
        <v>593</v>
      </c>
      <c r="D82" s="63" t="s">
        <v>594</v>
      </c>
      <c r="E82" s="63" t="s">
        <v>595</v>
      </c>
    </row>
    <row r="83" ht="18" spans="1:5">
      <c r="A83" s="109"/>
      <c r="B83" s="186" t="s">
        <v>596</v>
      </c>
      <c r="C83" s="183" t="s">
        <v>597</v>
      </c>
      <c r="D83" s="183" t="s">
        <v>598</v>
      </c>
      <c r="E83" s="183" t="s">
        <v>599</v>
      </c>
    </row>
    <row r="84" ht="18" spans="1:5">
      <c r="A84" s="109"/>
      <c r="B84" s="186" t="s">
        <v>600</v>
      </c>
      <c r="C84" s="183" t="s">
        <v>601</v>
      </c>
      <c r="D84" s="183" t="s">
        <v>602</v>
      </c>
      <c r="E84" s="183" t="s">
        <v>603</v>
      </c>
    </row>
    <row r="85" ht="20.4" spans="1:5">
      <c r="A85" s="66" t="s">
        <v>141</v>
      </c>
      <c r="B85" s="65" t="s">
        <v>142</v>
      </c>
      <c r="C85" s="64"/>
      <c r="D85" s="64"/>
      <c r="E85" s="66"/>
    </row>
    <row r="86" ht="34" spans="1:5">
      <c r="A86" s="109" t="s">
        <v>604</v>
      </c>
      <c r="B86" s="67" t="s">
        <v>605</v>
      </c>
      <c r="C86" s="71" t="s">
        <v>606</v>
      </c>
      <c r="D86" s="63" t="s">
        <v>607</v>
      </c>
      <c r="E86" s="63"/>
    </row>
    <row r="87" ht="34" spans="1:5">
      <c r="A87" s="109"/>
      <c r="B87" s="67" t="s">
        <v>608</v>
      </c>
      <c r="C87" s="111" t="s">
        <v>609</v>
      </c>
      <c r="D87" s="63" t="s">
        <v>610</v>
      </c>
      <c r="E87" s="63"/>
    </row>
    <row r="88" ht="20.4" spans="1:5">
      <c r="A88" s="109"/>
      <c r="B88" s="65" t="s">
        <v>142</v>
      </c>
      <c r="C88" s="65" t="s">
        <v>150</v>
      </c>
      <c r="D88" s="65" t="s">
        <v>151</v>
      </c>
      <c r="E88" s="65" t="s">
        <v>152</v>
      </c>
    </row>
    <row r="89" ht="18" spans="1:5">
      <c r="A89" s="109"/>
      <c r="B89" s="112" t="s">
        <v>611</v>
      </c>
      <c r="C89" s="63" t="s">
        <v>612</v>
      </c>
      <c r="D89" s="63" t="s">
        <v>613</v>
      </c>
      <c r="E89" s="63" t="s">
        <v>614</v>
      </c>
    </row>
    <row r="90" ht="18" spans="1:5">
      <c r="A90" s="109"/>
      <c r="B90" s="112" t="s">
        <v>615</v>
      </c>
      <c r="C90" s="63" t="s">
        <v>616</v>
      </c>
      <c r="D90" s="63" t="s">
        <v>617</v>
      </c>
      <c r="E90" s="63" t="s">
        <v>618</v>
      </c>
    </row>
    <row r="91" ht="18" spans="1:5">
      <c r="A91" s="109"/>
      <c r="B91" s="112" t="s">
        <v>619</v>
      </c>
      <c r="C91" s="63" t="s">
        <v>620</v>
      </c>
      <c r="D91" s="63" t="s">
        <v>621</v>
      </c>
      <c r="E91" s="63" t="s">
        <v>622</v>
      </c>
    </row>
    <row r="92" ht="18" spans="1:5">
      <c r="A92" s="109"/>
      <c r="B92" s="186" t="s">
        <v>623</v>
      </c>
      <c r="C92" s="183" t="s">
        <v>624</v>
      </c>
      <c r="D92" s="183" t="s">
        <v>625</v>
      </c>
      <c r="E92" s="183" t="s">
        <v>626</v>
      </c>
    </row>
    <row r="93" ht="18" spans="1:5">
      <c r="A93" s="109"/>
      <c r="B93" s="186" t="s">
        <v>627</v>
      </c>
      <c r="C93" s="183" t="s">
        <v>628</v>
      </c>
      <c r="D93" s="183" t="s">
        <v>629</v>
      </c>
      <c r="E93" s="183" t="s">
        <v>630</v>
      </c>
    </row>
    <row r="94" ht="20.4" spans="1:5">
      <c r="A94" s="66" t="s">
        <v>141</v>
      </c>
      <c r="B94" s="65" t="s">
        <v>142</v>
      </c>
      <c r="C94" s="64">
        <v>5</v>
      </c>
      <c r="D94" s="64">
        <f>5/212</f>
        <v>0.0235849056603774</v>
      </c>
      <c r="E94" s="66"/>
    </row>
    <row r="95" ht="34" spans="1:5">
      <c r="A95" s="109" t="s">
        <v>631</v>
      </c>
      <c r="B95" s="67" t="s">
        <v>632</v>
      </c>
      <c r="C95" s="187" t="s">
        <v>633</v>
      </c>
      <c r="D95" s="63" t="s">
        <v>634</v>
      </c>
      <c r="E95" s="63"/>
    </row>
    <row r="96" ht="34" spans="1:5">
      <c r="A96" s="109"/>
      <c r="B96" s="67" t="s">
        <v>635</v>
      </c>
      <c r="C96" s="71" t="s">
        <v>636</v>
      </c>
      <c r="D96" s="63" t="s">
        <v>637</v>
      </c>
      <c r="E96" s="63"/>
    </row>
    <row r="97" ht="20.4" spans="1:5">
      <c r="A97" s="109"/>
      <c r="B97" s="65" t="s">
        <v>142</v>
      </c>
      <c r="C97" s="65" t="s">
        <v>150</v>
      </c>
      <c r="D97" s="65" t="s">
        <v>151</v>
      </c>
      <c r="E97" s="65" t="s">
        <v>152</v>
      </c>
    </row>
    <row r="98" ht="18" spans="1:5">
      <c r="A98" s="109"/>
      <c r="B98" s="112" t="s">
        <v>638</v>
      </c>
      <c r="C98" s="63" t="s">
        <v>639</v>
      </c>
      <c r="D98" s="63" t="s">
        <v>640</v>
      </c>
      <c r="E98" s="63" t="s">
        <v>641</v>
      </c>
    </row>
    <row r="99" ht="18" spans="1:5">
      <c r="A99" s="109"/>
      <c r="B99" s="112" t="s">
        <v>642</v>
      </c>
      <c r="C99" s="63" t="s">
        <v>643</v>
      </c>
      <c r="D99" s="63" t="s">
        <v>644</v>
      </c>
      <c r="E99" s="63" t="s">
        <v>645</v>
      </c>
    </row>
    <row r="100" ht="18" spans="1:5">
      <c r="A100" s="109"/>
      <c r="B100" s="112" t="s">
        <v>646</v>
      </c>
      <c r="C100" s="63" t="s">
        <v>647</v>
      </c>
      <c r="D100" s="63" t="s">
        <v>648</v>
      </c>
      <c r="E100" s="63" t="s">
        <v>649</v>
      </c>
    </row>
    <row r="101" ht="18" spans="1:5">
      <c r="A101" s="109"/>
      <c r="B101" s="186" t="s">
        <v>650</v>
      </c>
      <c r="C101" s="183" t="s">
        <v>651</v>
      </c>
      <c r="D101" s="183" t="s">
        <v>652</v>
      </c>
      <c r="E101" s="183" t="s">
        <v>653</v>
      </c>
    </row>
    <row r="102" ht="18" spans="1:5">
      <c r="A102" s="109"/>
      <c r="B102" s="186" t="s">
        <v>654</v>
      </c>
      <c r="C102" s="183" t="s">
        <v>655</v>
      </c>
      <c r="D102" s="183" t="s">
        <v>656</v>
      </c>
      <c r="E102" s="183" t="s">
        <v>657</v>
      </c>
    </row>
    <row r="103" ht="40" customHeight="1" spans="1:5">
      <c r="A103" s="188" t="s">
        <v>141</v>
      </c>
      <c r="B103" s="188" t="s">
        <v>142</v>
      </c>
      <c r="D103" s="188" t="s">
        <v>658</v>
      </c>
      <c r="E103" s="138" t="s">
        <v>659</v>
      </c>
    </row>
    <row r="104" ht="34" spans="1:5">
      <c r="A104" s="64" t="s">
        <v>660</v>
      </c>
      <c r="B104" s="75">
        <v>127049051335</v>
      </c>
      <c r="C104" s="75" t="s">
        <v>661</v>
      </c>
    </row>
    <row r="105" ht="34" spans="1:5">
      <c r="B105" s="61">
        <v>127049051370</v>
      </c>
      <c r="C105" s="61" t="s">
        <v>662</v>
      </c>
    </row>
    <row r="106" ht="18" spans="1:5">
      <c r="B106" s="184" t="s">
        <v>663</v>
      </c>
      <c r="C106" s="184" t="s">
        <v>664</v>
      </c>
      <c r="D106" s="184" t="s">
        <v>665</v>
      </c>
      <c r="E106" s="184" t="s">
        <v>666</v>
      </c>
    </row>
    <row r="107" ht="18" spans="1:5">
      <c r="B107" s="184" t="s">
        <v>667</v>
      </c>
      <c r="C107" s="184" t="s">
        <v>668</v>
      </c>
      <c r="D107" s="184" t="s">
        <v>669</v>
      </c>
      <c r="E107" s="184" t="s">
        <v>670</v>
      </c>
    </row>
    <row r="108" ht="18" spans="1:5">
      <c r="B108" s="184" t="s">
        <v>671</v>
      </c>
      <c r="C108" s="184" t="s">
        <v>672</v>
      </c>
      <c r="D108" s="184" t="s">
        <v>673</v>
      </c>
      <c r="E108" s="184" t="s">
        <v>674</v>
      </c>
    </row>
    <row r="109" ht="19" customHeight="1" spans="1:5">
      <c r="B109" s="184" t="s">
        <v>675</v>
      </c>
      <c r="C109" s="184" t="s">
        <v>676</v>
      </c>
      <c r="D109" s="184" t="s">
        <v>677</v>
      </c>
      <c r="E109" s="184" t="s">
        <v>678</v>
      </c>
    </row>
    <row r="110" ht="18" spans="1:5">
      <c r="B110" s="184" t="s">
        <v>679</v>
      </c>
      <c r="C110" s="184" t="s">
        <v>680</v>
      </c>
      <c r="D110" s="184" t="s">
        <v>681</v>
      </c>
      <c r="E110" s="184" t="s">
        <v>682</v>
      </c>
    </row>
    <row r="111" ht="19" customHeight="1" spans="1:5">
      <c r="A111" s="188" t="s">
        <v>141</v>
      </c>
      <c r="B111" s="188" t="s">
        <v>142</v>
      </c>
      <c r="C111" s="188"/>
    </row>
    <row r="112" ht="48" customHeight="1" spans="1:5">
      <c r="A112" s="64" t="s">
        <v>683</v>
      </c>
      <c r="B112" s="75">
        <v>127049052330</v>
      </c>
      <c r="C112" s="75" t="s">
        <v>684</v>
      </c>
      <c r="D112" s="189" t="s">
        <v>685</v>
      </c>
      <c r="E112" s="190" t="s">
        <v>686</v>
      </c>
    </row>
    <row r="113" ht="34" spans="1:5">
      <c r="B113" s="61">
        <v>127047680611</v>
      </c>
      <c r="C113" s="61" t="s">
        <v>687</v>
      </c>
    </row>
    <row r="114" ht="18" spans="1:5">
      <c r="B114" s="184" t="s">
        <v>688</v>
      </c>
      <c r="C114" s="184" t="s">
        <v>689</v>
      </c>
      <c r="D114" s="184" t="s">
        <v>690</v>
      </c>
      <c r="E114" s="184" t="s">
        <v>691</v>
      </c>
    </row>
    <row r="115" ht="18" spans="1:5">
      <c r="B115" s="184" t="s">
        <v>692</v>
      </c>
      <c r="C115" s="184" t="s">
        <v>693</v>
      </c>
      <c r="D115" s="184" t="s">
        <v>694</v>
      </c>
      <c r="E115" s="184" t="s">
        <v>695</v>
      </c>
    </row>
    <row r="116" ht="18" spans="1:5">
      <c r="B116" s="184" t="s">
        <v>696</v>
      </c>
      <c r="C116" s="184" t="s">
        <v>697</v>
      </c>
      <c r="D116" s="184" t="s">
        <v>698</v>
      </c>
      <c r="E116" s="184" t="s">
        <v>699</v>
      </c>
    </row>
    <row r="117" ht="18" spans="1:5">
      <c r="B117" s="184" t="s">
        <v>700</v>
      </c>
      <c r="C117" s="184" t="s">
        <v>701</v>
      </c>
      <c r="D117" s="184" t="s">
        <v>702</v>
      </c>
      <c r="E117" s="184" t="s">
        <v>703</v>
      </c>
    </row>
    <row r="118" ht="18" spans="1:5">
      <c r="B118" s="184" t="s">
        <v>704</v>
      </c>
      <c r="C118" s="184" t="s">
        <v>705</v>
      </c>
      <c r="D118" s="184" t="s">
        <v>706</v>
      </c>
      <c r="E118" s="184" t="s">
        <v>707</v>
      </c>
    </row>
    <row r="119" spans="1:5">
      <c r="A119" s="188" t="s">
        <v>141</v>
      </c>
      <c r="B119" s="188" t="s">
        <v>142</v>
      </c>
      <c r="C119" s="188"/>
    </row>
    <row r="120" ht="70" spans="1:5">
      <c r="A120" s="64" t="s">
        <v>708</v>
      </c>
      <c r="B120" s="61">
        <v>127047682729</v>
      </c>
      <c r="C120" s="61" t="s">
        <v>709</v>
      </c>
      <c r="D120" s="191" t="s">
        <v>710</v>
      </c>
      <c r="E120" s="192" t="s">
        <v>711</v>
      </c>
    </row>
    <row r="121" ht="34" spans="1:5">
      <c r="A121" s="64"/>
      <c r="B121" s="61">
        <v>127049053332</v>
      </c>
      <c r="C121" s="61" t="s">
        <v>712</v>
      </c>
    </row>
    <row r="122" ht="18" spans="1:5">
      <c r="A122" s="64"/>
      <c r="B122" s="184" t="s">
        <v>713</v>
      </c>
      <c r="C122" s="184" t="s">
        <v>714</v>
      </c>
      <c r="D122" s="184" t="s">
        <v>715</v>
      </c>
      <c r="E122" s="184" t="s">
        <v>716</v>
      </c>
    </row>
    <row r="123" ht="18" spans="1:5">
      <c r="A123" s="64"/>
      <c r="B123" s="184" t="s">
        <v>717</v>
      </c>
      <c r="C123" s="184" t="s">
        <v>718</v>
      </c>
      <c r="D123" s="184" t="s">
        <v>719</v>
      </c>
      <c r="E123" s="184" t="s">
        <v>720</v>
      </c>
    </row>
    <row r="124" ht="18" spans="1:5">
      <c r="A124" s="64"/>
      <c r="B124" s="184" t="s">
        <v>721</v>
      </c>
      <c r="C124" s="184" t="s">
        <v>722</v>
      </c>
      <c r="D124" s="184" t="s">
        <v>723</v>
      </c>
      <c r="E124" s="184" t="s">
        <v>724</v>
      </c>
    </row>
    <row r="125" ht="18" spans="1:5">
      <c r="A125" s="64"/>
      <c r="B125" s="184" t="s">
        <v>725</v>
      </c>
      <c r="C125" s="184" t="s">
        <v>726</v>
      </c>
      <c r="D125" s="184" t="s">
        <v>727</v>
      </c>
      <c r="E125" s="184" t="s">
        <v>728</v>
      </c>
    </row>
    <row r="126" ht="18" spans="1:5">
      <c r="A126" s="64"/>
      <c r="B126" s="184" t="s">
        <v>729</v>
      </c>
      <c r="C126" s="184" t="s">
        <v>730</v>
      </c>
      <c r="D126" s="184" t="s">
        <v>731</v>
      </c>
      <c r="E126" s="184" t="s">
        <v>732</v>
      </c>
    </row>
  </sheetData>
  <mergeCells count="19">
    <mergeCell ref="B1:I1"/>
    <mergeCell ref="A2:I2"/>
    <mergeCell ref="A22:B22"/>
    <mergeCell ref="A24:B24"/>
    <mergeCell ref="A5:A9"/>
    <mergeCell ref="A10:A15"/>
    <mergeCell ref="A16:A21"/>
    <mergeCell ref="A37:A43"/>
    <mergeCell ref="A45:A51"/>
    <mergeCell ref="A52:A58"/>
    <mergeCell ref="A60:A66"/>
    <mergeCell ref="A68:A75"/>
    <mergeCell ref="A77:A84"/>
    <mergeCell ref="A86:A93"/>
    <mergeCell ref="A95:A102"/>
    <mergeCell ref="A104:A110"/>
    <mergeCell ref="A112:A118"/>
    <mergeCell ref="A120:A126"/>
    <mergeCell ref="B3:B5"/>
  </mergeCells>
  <hyperlinks>
    <hyperlink ref="E123" r:id="rId1" display="https://t1.nicegoods.cn/financial/experience-plan-sku?launchId=127049053332&amp;wcl=210500_14226893_financing"/>
    <hyperlink ref="E91" r:id="rId2" display="https://s.xingqudao.net/SOYeak6R"/>
    <hyperlink ref="E50" r:id="rId3" display="https://s.xingqudao.net/SOYeaD9h"/>
    <hyperlink ref="C114" r:id="rId4" display="https://s.xingqudao.net/SOYebBdT"/>
    <hyperlink ref="E72" r:id="rId5" display="https://s.xingqudao.net/SOYeant7"/>
    <hyperlink ref="D40" r:id="rId6" display="https://t1.nicegoods.cn/financial/experience-plan-sku?launchId=126724662127&amp;wcl=210500_14224238_financing"/>
    <hyperlink ref="D83" r:id="rId7" display="https://t1.nicegoods.cn/financial/experience-plan-sku?launchId=126901033672&amp;wcl=210500_14224922_financing"/>
    <hyperlink ref="E48" r:id="rId8" display="https://s.xingqudao.net/SOYeaD9e"/>
    <hyperlink ref="E57" r:id="rId9" display="https://s.xingqudao.net/SOYeaD9k"/>
    <hyperlink ref="F33" r:id="rId10" display="摄影美学-段晓晖单人&#10;复用4.14日段&#10;直播间ID：3660448053&#10;开播时间：19:00&#10;预约链接：https://s.xingqudao.net/SOYeaj8Z"/>
    <hyperlink ref="D93" r:id="rId11" display="https://t1.nicegoods.cn/financial/experience-plan-sku?launchId=126901152344&amp;wcl=210500_14224928_financing"/>
    <hyperlink ref="D56" r:id="rId12" display="https://t1.nicegoods.cn/financial/experience-plan-sku?launchId=126681159030&amp;wcl=210500_14224247_financing"/>
    <hyperlink ref="E108" r:id="rId13" display="https://t1.nicegoods.cn/financial/experience-plan-sku?launchId=127049051335&amp;wcl=210500_14226884_financing"/>
    <hyperlink ref="E90" r:id="rId14" display="https://s.xingqudao.net/SOYeak6Q"/>
    <hyperlink ref="C28" r:id="rId15" display="睡眠&#10;复用3.27&#10;需剪辑&#10;开播时间：7:30&#10;预约链接：https://s.xingqudao.net/SOYeapwS"/>
    <hyperlink ref="D92" r:id="rId16" display="https://t1.nicegoods.cn/financial/experience-plan-sku?launchId=126901033758&amp;wcl=210500_14224927_financing"/>
    <hyperlink ref="E71" r:id="rId17" display="https://s.xingqudao.net/SOYeant6"/>
    <hyperlink ref="E55" r:id="rId18" display="https://s.xingqudao.net/SOYeaD9i"/>
    <hyperlink ref="E84" r:id="rId19" display="https://s.xingqudao.net/SOYeak6G"/>
    <hyperlink ref="D101" r:id="rId20" display="https://t1.nicegoods.cn/financial/experience-plan-sku?launchId=126905670620&amp;wcl=210500_14224932_financing"/>
    <hyperlink ref="E63" r:id="rId21" display="https://s.xingqudao.net/SOYeaD9I"/>
    <hyperlink ref="D58" r:id="rId22" display="https://t1.nicegoods.cn/financial/experience-plan-sku?launchId=126681282912&amp;wcl=210500_14224249_financing"/>
    <hyperlink ref="E40" r:id="rId23" display="https://s.xingqudao.net/SOYeaD9Z"/>
    <hyperlink ref="D49" r:id="rId24" display="https://t1.nicegoods.cn/financial/experience-plan-sku?launchId=126681985933&amp;wcl=210500_14224244_financing"/>
    <hyperlink ref="D84" r:id="rId25" display="https://t1.nicegoods.cn/financial/experience-plan-sku?launchId=126901150898&amp;wcl=210500_14224923_financing"/>
    <hyperlink ref="E82" r:id="rId26" display="https://s.xingqudao.net/SOYeak6K"/>
    <hyperlink ref="C110" r:id="rId27" display="https://s.xingqudao.net/SOYebBdS"/>
    <hyperlink ref="D48" r:id="rId28" display="https://t1.nicegoods.cn/financial/experience-plan-sku?launchId=126681985933&amp;wcl=210500_14224243_financing"/>
    <hyperlink ref="C108" r:id="rId29" display="https://s.xingqudao.net/SOYebBdQ"/>
    <hyperlink ref="E120" r:id="rId30" display="预约链接：https://s.xingqudao.net/SOYeaHtt"/>
    <hyperlink ref="E124" r:id="rId31" display="https://t1.nicegoods.cn/financial/experience-plan-sku?launchId=127049053332&amp;wcl=210500_14226894_financing"/>
    <hyperlink ref="E93" r:id="rId32" display="https://s.xingqudao.net/SOYeak6N"/>
    <hyperlink ref="D64" r:id="rId33" display="https://t1.nicegoods.cn/financial/experience-plan-sku?launchId=126681155542&amp;wcl=210500_14224223_financing"/>
    <hyperlink ref="E56" r:id="rId34" display="https://s.xingqudao.net/SOYeaD9j"/>
    <hyperlink ref="C106" r:id="rId35" display="https://s.xingqudao.net/SOYebBdN"/>
    <hyperlink ref="E69" r:id="rId5" display="https://s.xingqudao.net/SOYeant7"/>
    <hyperlink ref="D43" r:id="rId36" display="https://t1.nicegoods.cn/financial/experience-plan-sku?launchId=126681983180&amp;wcl=210500_14224241_financing"/>
    <hyperlink ref="D86" r:id="rId37" display="https://t1.nicegoods.cn/financial/experience-plan-sku?launchId=126901033758"/>
    <hyperlink ref="E103" r:id="rId38" display="预约链接：https://s.xingqudao.net/SOYeaj13"/>
    <hyperlink ref="C124" r:id="rId39" display="https://s.xingqudao.net/SOYebBdb"/>
    <hyperlink ref="D69" r:id="rId40" display="https://t1.nicegoods.cn/financial/experience-plan-sku?launchId=126759466187&amp;wcl=210500_14224991_financing"/>
    <hyperlink ref="D74" r:id="rId41" display="https://t1.nicegoods.cn/financial/experience-plan-sku?launchId=126759466187&amp;wcl=210500_14224989_financing"/>
    <hyperlink ref="D87" r:id="rId42" display="https://t1.nicegoods.cn/financial/experience-plan-sku?launchId=126901152344"/>
    <hyperlink ref="E49" r:id="rId43" display="https://s.xingqudao.net/SOYeaD9f"/>
    <hyperlink ref="C126" r:id="rId44" display="https://s.xingqudao.net/SOYebBdd"/>
    <hyperlink ref="D80" r:id="rId45" display="https://t1.nicegoods.cn/financial/experience-plan-sku?launchId=126901150898&amp;wcl=210500_14224924_financing"/>
    <hyperlink ref="E101" r:id="rId46" display="https://s.xingqudao.net/SOYeak6S"/>
    <hyperlink ref="D81" r:id="rId47" display="https://t1.nicegoods.cn/financial/experience-plan-sku?launchId=126901150898&amp;wcl=210500_14224925_financing"/>
    <hyperlink ref="D78" r:id="rId48" display="https://t1.nicegoods.cn/financial/experience-plan-sku?launchId=126901150898"/>
    <hyperlink ref="D95" r:id="rId49" display="https://t1.nicegoods.cn/financial/experience-plan-sku?launchId=126905670620"/>
    <hyperlink ref="C117" r:id="rId50" display="https://s.xingqudao.net/SOYebBdW"/>
    <hyperlink ref="E114" r:id="rId51" display="https://t1.nicegoods.cn/financial/experience-plan-sku?launchId=127047680611&amp;wcl=210500_14226887_financing"/>
    <hyperlink ref="E73" r:id="rId52" display="https://s.xingqudao.net/SOYeant2"/>
    <hyperlink ref="D28" r:id="rId53" display="逆龄女神瑜伽&#10;已有单课id，复用3.21&#10;开播时间：7:30&#10;预约链接：https://s.xingqudao.net/SOYeaHs6"/>
    <hyperlink ref="D98" r:id="rId54" display="https://t1.nicegoods.cn/financial/experience-plan-sku?launchId=126901137841&amp;wcl=210500_14224934_financing"/>
    <hyperlink ref="D96" r:id="rId55" display="https://t1.nicegoods.cn/financial/experience-plan-sku?launchId=126901137841"/>
    <hyperlink ref="E115" r:id="rId56" display="https://t1.nicegoods.cn/financial/experience-plan-sku?launchId=127047680611&amp;wcl=210500_14226888_financing"/>
    <hyperlink ref="C115" r:id="rId57" display="https://s.xingqudao.net/SOYebBdU"/>
    <hyperlink ref="C123" r:id="rId58" display="https://s.xingqudao.net/SOYebBda"/>
    <hyperlink ref="D41" r:id="rId59" display="https://t1.nicegoods.cn/financial/experience-plan-sku?launchId=126724662127&amp;wcl=210500_14224239_financing"/>
    <hyperlink ref="C118" r:id="rId60" display="https://s.xingqudao.net/SOYebBdX"/>
    <hyperlink ref="E66" r:id="rId61" display="https://s.xingqudao.net/SOYeaD9L"/>
    <hyperlink ref="D77" r:id="rId62" display="https://t1.nicegoods.cn/financial/experience-plan-sku?launchId=126901033672"/>
    <hyperlink ref="D91" r:id="rId63" display="https://t1.nicegoods.cn/financial/experience-plan-sku?launchId=126901152344&amp;wcl=210500_14224931_financing"/>
    <hyperlink ref="D82" r:id="rId64" display="https://t1.nicegoods.cn/financial/experience-plan-sku?launchId=126901150898&amp;wcl=210500_14224926_financing"/>
    <hyperlink ref="D102" r:id="rId65" display="https://t1.nicegoods.cn/financial/experience-plan-sku?launchId=126901137841&amp;wcl=210500_14224933_financing"/>
    <hyperlink ref="E112" r:id="rId10" display="预约链接：https://s.xingqudao.net/SOYeaj8Z"/>
    <hyperlink ref="D100" r:id="rId66" display="https://t1.nicegoods.cn/financial/experience-plan-sku?launchId=126901137841&amp;wcl=210500_14224936_financing"/>
    <hyperlink ref="D89" r:id="rId67" display="https://t1.nicegoods.cn/financial/experience-plan-sku?launchId=126901152344&amp;wcl=210500_14224929_financing"/>
    <hyperlink ref="H16" r:id="rId68" display="2025.5.8气血&#10;开播时间：19:00&#10;复用直播间ID：3660231509&#10;单课ID：126796910452&#10;预约链接：https://s.xingqudao.net/SOYeaj4U"/>
    <hyperlink ref="E92" r:id="rId69" display="https://s.xingqudao.net/SOYeak6L"/>
    <hyperlink ref="D71" r:id="rId70" display="https://t1.nicegoods.cn/financial/experience-plan-sku?launchId=126759466187&amp;wcl=210500_14224990_financing"/>
    <hyperlink ref="I5" r:id="rId71" display="一杰晨练&#10;已有单课id&#10;复用3.24&#10;开播时间：7:00&#10;预约链接：https://s.xingqudao.net/SOYeaHds"/>
    <hyperlink ref="E109" r:id="rId72" display="https://t1.nicegoods.cn/financial/experience-plan-sku?launchId=127049051370&amp;wcl=210500_14226885_financing"/>
    <hyperlink ref="E125" r:id="rId73" display="https://t1.nicegoods.cn/financial/experience-plan-sku?launchId=127047682729&amp;wcl=210500_14226895_financing"/>
    <hyperlink ref="H34" r:id="rId30" display="短视频复用（跟4.11一样）&#10;不需要剪辑&#10;开播时间：19:00&#10;直播间ID：3660460142&#10;预约链接：https://s.xingqudao.net/SOYeaHtt"/>
    <hyperlink ref="E41" r:id="rId74" display="https://s.xingqudao.net/SOYeaD9a"/>
    <hyperlink ref="E107" r:id="rId75" display="https://t1.nicegoods.cn/financial/experience-plan-sku?launchId=127049051335&amp;wcl=210500_14226883_financing"/>
    <hyperlink ref="C109" r:id="rId76" display="https://s.xingqudao.net/SOYebBdR"/>
    <hyperlink ref="D42" r:id="rId77" display="https://t1.nicegoods.cn/financial/experience-plan-sku?launchId=126724662127&amp;wcl=210500_14224240_financing"/>
    <hyperlink ref="E58" r:id="rId78" display="https://s.xingqudao.net/SOYeaD9l"/>
    <hyperlink ref="E110" r:id="rId79" display="https://t1.nicegoods.cn/financial/experience-plan-sku?launchId=127049051335&amp;wcl=210500_14226886_financing"/>
    <hyperlink ref="D90" r:id="rId80" display="https://t1.nicegoods.cn/financial/experience-plan-sku?launchId=126901152344&amp;wcl=210500_14224930_financing"/>
    <hyperlink ref="E98" r:id="rId81" display="https://s.xingqudao.net/SOYeak6W"/>
    <hyperlink ref="D99" r:id="rId82" display="https://t1.nicegoods.cn/financial/experience-plan-sku?launchId=126901137841&amp;wcl=210500_14224935_financing"/>
    <hyperlink ref="E89" r:id="rId83" display="https://s.xingqudao.net/SOYeak6O"/>
    <hyperlink ref="D73" r:id="rId84" display="https://t1.nicegoods.cn/financial/experience-plan-sku?launchId=126759466187&amp;wcl=210500_14224988_financing"/>
    <hyperlink ref="D65" r:id="rId85" display="https://t1.nicegoods.cn/financial/experience-plan-sku?launchId=126681155542&amp;wcl=210500_14224224_financing"/>
    <hyperlink ref="E64" r:id="rId86" display="https://s.xingqudao.net/SOYeaD9J"/>
    <hyperlink ref="E116" r:id="rId87" display="https://t1.nicegoods.cn/financial/experience-plan-sku?launchId=127047680611&amp;wcl=210500_14226889_financing"/>
    <hyperlink ref="C107" r:id="rId88" display="https://s.xingqudao.net/SOYebBdP"/>
    <hyperlink ref="D55" r:id="rId89" display="https://t1.nicegoods.cn/financial/experience-plan-sku?launchId=126681159030&amp;wcl=210500_14224246_financing"/>
    <hyperlink ref="D68" r:id="rId70" display="https://t1.nicegoods.cn/financial/experience-plan-sku?launchId=126759466187&amp;wcl=210500_14224990_financing"/>
    <hyperlink ref="E99" r:id="rId90" display="https://s.xingqudao.net/SOYeak6X"/>
    <hyperlink ref="E65" r:id="rId91" display="https://s.xingqudao.net/SOYeaD9K"/>
    <hyperlink ref="C34" r:id="rId92" display="2025.5.16健康营养&#10;开播时间：19:00&#10;直播间ID：3660238220&#10;预约链接：https://s.xingqudao.net/SOYeaj65"/>
    <hyperlink ref="E118" r:id="rId93" display="https://t1.nicegoods.cn/financial/experience-plan-sku?launchId=127047680611&amp;wcl=210500_14226891_financing"/>
    <hyperlink ref="F16" r:id="rId38" display="风光摄影-IP耿春晖&#10;单人户外&#10;复用4.17日&#10;开播时间：18:00&#10;直播间ID：&#10;单课ID：126788036392&#10;预约链接：https://s.xingqudao.net/SOYeaj13"/>
    <hyperlink ref="D51" r:id="rId94" display="https://t1.nicegoods.cn/financial/experience-plan-sku?launchId=126681985933&amp;wcl=210500_14224242_financing"/>
    <hyperlink ref="E102" r:id="rId95" display="https://s.xingqudao.net/SOYeak6U"/>
    <hyperlink ref="E100" r:id="rId96" display="https://s.xingqudao.net/SOYeak6Z"/>
    <hyperlink ref="D66" r:id="rId97" display="https://t1.nicegoods.cn/financial/experience-plan-sku?launchId=126681155578&amp;wcl=210500_14224225_financing"/>
    <hyperlink ref="E106" r:id="rId98" display="https://t1.nicegoods.cn/financial/experience-plan-sku?launchId=127049051335&amp;wcl=210500_14226882_financing"/>
    <hyperlink ref="C125" r:id="rId99" display="https://s.xingqudao.net/SOYebBdc"/>
    <hyperlink ref="E122" r:id="rId100" display="https://t1.nicegoods.cn/financial/experience-plan-sku?launchId=127049053332&amp;wcl=210500_14226892_financing"/>
    <hyperlink ref="D34" r:id="rId101" display="君合太极-刘君合&#10;复用4.26&#10;开播时间：19:00&#10;预约链接：https://s.xingqudao.net/SOYeaq2o"/>
    <hyperlink ref="D50" r:id="rId102" display="https://t1.nicegoods.cn/financial/experience-plan-sku?launchId=126681282838&amp;wcl=210500_14224245_financing"/>
    <hyperlink ref="I16" r:id="rId103" display="【伪直播复用】&#10;收纳，不需要剪辑&#10;开播时间：晚上19:00&#10;强调“独家课堂”&#10;直播间ID：3660460130&#10;预约链接：https://s.xingqudao.net/SOYeaHeq"/>
    <hyperlink ref="E68" r:id="rId17" display="https://s.xingqudao.net/SOYeant6"/>
    <hyperlink ref="C116" r:id="rId104" display="https://s.xingqudao.net/SOYebBdV"/>
    <hyperlink ref="D75" r:id="rId105" display="https://t1.nicegoods.cn/financial/experience-plan-sku?launchId=126759466187&amp;wcl=210500_14224987_financing"/>
    <hyperlink ref="D57" r:id="rId106" display="https://t1.nicegoods.cn/financial/experience-plan-sku?launchId=126681159030&amp;wcl=210500_14224248_financing"/>
    <hyperlink ref="E51" r:id="rId107" display="https://s.xingqudao.net/SOYeaD9d"/>
    <hyperlink ref="E117" r:id="rId108" display="https://t1.nicegoods.cn/financial/experience-plan-sku?launchId=127049052330&amp;wcl=210500_14226890_financing"/>
    <hyperlink ref="E83" r:id="rId109" display="https://s.xingqudao.net/SOYeak6E"/>
    <hyperlink ref="E74" r:id="rId110" display="https://s.xingqudao.net/SOYeant4"/>
    <hyperlink ref="E81" r:id="rId111" display="https://s.xingqudao.net/SOYeak6J"/>
    <hyperlink ref="E80" r:id="rId112" display="https://s.xingqudao.net/SOYeak6H"/>
    <hyperlink ref="E42" r:id="rId113" display="https://s.xingqudao.net/SOYeaD9b"/>
    <hyperlink ref="E75" r:id="rId114" display="https://s.xingqudao.net/SOYeant1"/>
    <hyperlink ref="D72" r:id="rId40" display="https://t1.nicegoods.cn/financial/experience-plan-sku?launchId=126759466187&amp;wcl=210500_14224991_financing"/>
    <hyperlink ref="E126" r:id="rId115" display="https://t1.nicegoods.cn/financial/experience-plan-sku?launchId=127049053332&amp;wcl=210500_14226896_financing"/>
    <hyperlink ref="D63" r:id="rId116" display="https://t1.nicegoods.cn/financial/experience-plan-sku?launchId=126681155542&amp;wcl=210500_14224222_financing"/>
    <hyperlink ref="C122" r:id="rId117" display="https://s.xingqudao.net/SOYebBdZ"/>
    <hyperlink ref="E43" r:id="rId118" display="https://s.xingqudao.net/SOYeaD9c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258"/>
    <outlinePr summaryBelow="0" summaryRight="0"/>
  </sheetPr>
  <dimension ref="A1:I84"/>
  <sheetViews>
    <sheetView workbookViewId="0">
      <selection activeCell="A1" sqref="A1"/>
    </sheetView>
  </sheetViews>
  <sheetFormatPr defaultColWidth="14" defaultRowHeight="15.2"/>
  <cols>
    <col min="1" max="1" width="25" customWidth="1"/>
    <col min="2" max="2" width="52" customWidth="1"/>
    <col min="3" max="6" width="55" customWidth="1"/>
    <col min="7" max="7" width="56" customWidth="1"/>
    <col min="8" max="9" width="55" customWidth="1"/>
  </cols>
  <sheetData>
    <row r="1" ht="21" spans="1:9">
      <c r="A1" s="76" t="s">
        <v>420</v>
      </c>
      <c r="B1" s="77" t="s">
        <v>421</v>
      </c>
      <c r="C1" s="77"/>
      <c r="D1" s="77"/>
      <c r="E1" s="77"/>
      <c r="F1" s="77"/>
      <c r="G1" s="77"/>
      <c r="H1" s="77"/>
    </row>
    <row r="2" ht="35" spans="1:9">
      <c r="A2" s="78" t="s">
        <v>422</v>
      </c>
      <c r="B2" s="78"/>
      <c r="C2" s="78"/>
      <c r="D2" s="78"/>
      <c r="E2" s="78"/>
      <c r="F2" s="78"/>
      <c r="G2" s="78"/>
      <c r="H2" s="78"/>
      <c r="I2" s="78"/>
    </row>
    <row r="3" ht="26" spans="1:9">
      <c r="A3" s="79" t="s">
        <v>56</v>
      </c>
      <c r="B3" s="6" t="s">
        <v>57</v>
      </c>
      <c r="C3" s="7" t="s">
        <v>58</v>
      </c>
      <c r="D3" s="6" t="s">
        <v>59</v>
      </c>
      <c r="E3" s="7" t="s">
        <v>60</v>
      </c>
      <c r="F3" s="7" t="s">
        <v>61</v>
      </c>
      <c r="G3" s="7" t="s">
        <v>62</v>
      </c>
      <c r="H3" s="7" t="s">
        <v>63</v>
      </c>
      <c r="I3" s="7" t="s">
        <v>64</v>
      </c>
    </row>
    <row r="4" ht="26" spans="1:9">
      <c r="A4" s="80" t="s">
        <v>65</v>
      </c>
      <c r="B4" s="6"/>
      <c r="C4" s="9" t="s">
        <v>733</v>
      </c>
      <c r="D4" s="9" t="s">
        <v>734</v>
      </c>
      <c r="E4" s="9" t="s">
        <v>735</v>
      </c>
      <c r="F4" s="9" t="s">
        <v>736</v>
      </c>
      <c r="G4" s="9" t="s">
        <v>737</v>
      </c>
      <c r="H4" s="9" t="s">
        <v>738</v>
      </c>
      <c r="I4" s="9" t="s">
        <v>739</v>
      </c>
    </row>
    <row r="5" ht="129" customHeight="1" spans="1:9">
      <c r="A5" s="11" t="s">
        <v>66</v>
      </c>
      <c r="B5" s="6"/>
      <c r="C5" s="12"/>
      <c r="D5" s="13" t="s">
        <v>68</v>
      </c>
      <c r="E5" s="14" t="s">
        <v>740</v>
      </c>
      <c r="F5" s="14" t="s">
        <v>741</v>
      </c>
      <c r="G5" s="13" t="s">
        <v>67</v>
      </c>
      <c r="H5" s="118"/>
      <c r="I5" s="81"/>
    </row>
    <row r="6" ht="26" spans="1:9">
      <c r="A6" s="11"/>
      <c r="B6" s="17" t="s">
        <v>72</v>
      </c>
      <c r="C6" s="12"/>
      <c r="D6" s="18" t="s">
        <v>74</v>
      </c>
      <c r="E6" s="18" t="s">
        <v>73</v>
      </c>
      <c r="F6" s="18" t="s">
        <v>74</v>
      </c>
      <c r="G6" s="18" t="s">
        <v>73</v>
      </c>
      <c r="H6" s="18"/>
      <c r="I6" s="81"/>
    </row>
    <row r="7" ht="26" spans="1:9">
      <c r="A7" s="11"/>
      <c r="B7" s="20" t="s">
        <v>75</v>
      </c>
      <c r="C7" s="12"/>
      <c r="D7" s="22">
        <v>266934</v>
      </c>
      <c r="E7" s="22">
        <f>141732+224973</f>
        <v>366705</v>
      </c>
      <c r="F7" s="22">
        <f>338282</f>
        <v>338282</v>
      </c>
      <c r="G7" s="22">
        <f>432710+164406</f>
        <v>597116</v>
      </c>
      <c r="H7" s="22"/>
      <c r="I7" s="81"/>
    </row>
    <row r="8" ht="183" customHeight="1" spans="1:9">
      <c r="A8" s="11"/>
      <c r="B8" s="24" t="s">
        <v>76</v>
      </c>
      <c r="C8" s="12"/>
      <c r="D8" s="16" t="s">
        <v>742</v>
      </c>
      <c r="E8" s="16" t="s">
        <v>743</v>
      </c>
      <c r="G8" s="16" t="s">
        <v>744</v>
      </c>
      <c r="H8" s="27"/>
      <c r="I8" s="81"/>
    </row>
    <row r="9" ht="75" customHeight="1" spans="1:9">
      <c r="A9" s="11"/>
      <c r="B9" s="28" t="s">
        <v>82</v>
      </c>
      <c r="C9" s="12"/>
      <c r="D9" s="16"/>
      <c r="E9" s="26" t="s">
        <v>745</v>
      </c>
      <c r="F9" s="26" t="s">
        <v>746</v>
      </c>
      <c r="G9" s="82"/>
      <c r="H9" s="26"/>
      <c r="I9" s="81"/>
    </row>
    <row r="10" ht="80" customHeight="1" spans="1:9">
      <c r="A10" s="11" t="s">
        <v>455</v>
      </c>
      <c r="B10" s="11"/>
      <c r="C10" s="81"/>
      <c r="D10" s="12"/>
      <c r="E10" s="84" t="s">
        <v>747</v>
      </c>
      <c r="G10" s="21"/>
      <c r="H10" s="34"/>
      <c r="I10" s="84" t="s">
        <v>748</v>
      </c>
    </row>
    <row r="11" ht="89" customHeight="1" spans="1:9">
      <c r="A11" s="11" t="s">
        <v>749</v>
      </c>
      <c r="B11" s="11"/>
      <c r="C11" s="31"/>
      <c r="D11" s="21"/>
      <c r="E11" s="85" t="s">
        <v>750</v>
      </c>
      <c r="F11" s="85" t="s">
        <v>751</v>
      </c>
      <c r="G11" s="85" t="s">
        <v>752</v>
      </c>
      <c r="H11" s="34"/>
      <c r="I11" s="81"/>
    </row>
    <row r="12" ht="139" spans="1:9">
      <c r="A12" s="11" t="s">
        <v>84</v>
      </c>
      <c r="B12" s="30" t="s">
        <v>85</v>
      </c>
      <c r="C12" s="31"/>
      <c r="D12" s="86" t="s">
        <v>753</v>
      </c>
      <c r="E12" s="119"/>
      <c r="F12" s="87" t="s">
        <v>754</v>
      </c>
      <c r="G12" s="120" t="s">
        <v>755</v>
      </c>
      <c r="H12" s="120" t="s">
        <v>756</v>
      </c>
      <c r="I12" s="87" t="s">
        <v>757</v>
      </c>
    </row>
    <row r="13" ht="26" spans="1:9">
      <c r="A13" s="11"/>
      <c r="B13" s="17" t="s">
        <v>72</v>
      </c>
      <c r="C13" s="35"/>
      <c r="D13" s="18" t="s">
        <v>88</v>
      </c>
      <c r="E13" s="18"/>
      <c r="F13" s="18" t="s">
        <v>73</v>
      </c>
      <c r="G13" s="18" t="s">
        <v>74</v>
      </c>
      <c r="H13" s="34" t="s">
        <v>74</v>
      </c>
      <c r="I13" s="18" t="s">
        <v>73</v>
      </c>
    </row>
    <row r="14" ht="26" spans="1:9">
      <c r="A14" s="11"/>
      <c r="B14" s="36" t="s">
        <v>75</v>
      </c>
      <c r="C14" s="31"/>
      <c r="D14" s="21">
        <f>99436+239572+36561</f>
        <v>375569</v>
      </c>
      <c r="E14" s="21"/>
      <c r="F14" s="21">
        <v>109802</v>
      </c>
      <c r="G14" s="89"/>
      <c r="H14" s="34">
        <f>80429+224973</f>
        <v>305402</v>
      </c>
      <c r="I14" s="21">
        <f>19144+195603+279348+276045</f>
        <v>770140</v>
      </c>
    </row>
    <row r="15" ht="104" spans="1:9">
      <c r="A15" s="11"/>
      <c r="B15" s="24" t="s">
        <v>76</v>
      </c>
      <c r="C15" s="37"/>
      <c r="D15" s="16"/>
      <c r="E15" s="21"/>
      <c r="F15" s="38" t="s">
        <v>758</v>
      </c>
      <c r="G15" s="26"/>
      <c r="H15" s="34"/>
      <c r="I15" s="81"/>
    </row>
    <row r="16" ht="234" spans="1:9">
      <c r="A16" s="11"/>
      <c r="B16" s="28" t="s">
        <v>82</v>
      </c>
      <c r="C16" s="38"/>
      <c r="D16" s="82"/>
      <c r="F16" s="82" t="s">
        <v>759</v>
      </c>
      <c r="G16" s="103" t="s">
        <v>760</v>
      </c>
      <c r="H16" s="121" t="s">
        <v>761</v>
      </c>
      <c r="I16" s="121" t="s">
        <v>762</v>
      </c>
    </row>
    <row r="17" ht="182" spans="1:9">
      <c r="A17" s="11"/>
      <c r="B17" s="39" t="s">
        <v>89</v>
      </c>
      <c r="C17" s="40"/>
      <c r="D17" s="92" t="s">
        <v>763</v>
      </c>
      <c r="E17" s="92"/>
      <c r="F17" s="42"/>
      <c r="G17" s="25"/>
      <c r="H17" s="16" t="s">
        <v>764</v>
      </c>
      <c r="I17" s="122"/>
    </row>
    <row r="18" ht="78" spans="1:9">
      <c r="A18" s="11" t="s">
        <v>84</v>
      </c>
      <c r="B18" s="6" t="s">
        <v>85</v>
      </c>
      <c r="C18" s="31"/>
      <c r="D18" s="16"/>
      <c r="E18" s="31"/>
      <c r="F18" s="123" t="s">
        <v>765</v>
      </c>
      <c r="G18" s="34"/>
      <c r="H18" s="124"/>
      <c r="I18" s="124"/>
    </row>
    <row r="19" ht="26" spans="1:9">
      <c r="A19" s="11"/>
      <c r="B19" s="48" t="s">
        <v>72</v>
      </c>
      <c r="C19" s="18"/>
      <c r="D19" s="94"/>
      <c r="E19" s="94"/>
      <c r="F19" s="18" t="s">
        <v>74</v>
      </c>
      <c r="G19" s="18"/>
      <c r="H19" s="125"/>
      <c r="I19" s="125"/>
    </row>
    <row r="20" ht="26" spans="1:9">
      <c r="A20" s="11"/>
      <c r="B20" s="51" t="s">
        <v>75</v>
      </c>
      <c r="C20" s="21"/>
      <c r="D20" s="88"/>
      <c r="E20" s="88"/>
      <c r="F20" s="34">
        <f>84539+115869+18319</f>
        <v>218727</v>
      </c>
      <c r="G20" s="21"/>
      <c r="H20" s="22"/>
      <c r="I20" s="22"/>
    </row>
    <row r="21" ht="26" spans="1:9">
      <c r="A21" s="11"/>
      <c r="B21" s="52" t="s">
        <v>76</v>
      </c>
      <c r="C21" s="25"/>
      <c r="D21" s="82"/>
      <c r="E21" s="82"/>
      <c r="F21" s="81"/>
      <c r="G21" s="92"/>
      <c r="H21" s="25"/>
      <c r="I21" s="25"/>
    </row>
    <row r="22" ht="130" spans="1:9">
      <c r="A22" s="11"/>
      <c r="B22" s="55" t="s">
        <v>82</v>
      </c>
      <c r="C22" s="81"/>
      <c r="D22" s="81"/>
      <c r="E22" s="81"/>
      <c r="F22" s="103" t="s">
        <v>766</v>
      </c>
      <c r="G22" s="81"/>
      <c r="H22" s="96"/>
      <c r="I22" s="81"/>
    </row>
    <row r="23" ht="26" spans="1:9">
      <c r="A23" s="11"/>
      <c r="B23" s="56" t="s">
        <v>89</v>
      </c>
      <c r="C23" s="81"/>
      <c r="D23" s="81"/>
      <c r="E23" s="126"/>
      <c r="F23" s="127"/>
      <c r="G23" s="81"/>
      <c r="H23" s="99"/>
      <c r="I23" s="81"/>
    </row>
    <row r="24" ht="217" spans="1:9">
      <c r="A24" s="11" t="s">
        <v>767</v>
      </c>
      <c r="B24" s="6" t="s">
        <v>85</v>
      </c>
      <c r="C24" s="81"/>
      <c r="D24" s="95"/>
      <c r="E24" s="81"/>
      <c r="F24" s="120" t="s">
        <v>768</v>
      </c>
      <c r="G24" s="120" t="s">
        <v>769</v>
      </c>
      <c r="H24" s="120" t="s">
        <v>770</v>
      </c>
      <c r="I24" s="128"/>
    </row>
    <row r="25" ht="26" spans="1:9">
      <c r="A25" s="11"/>
      <c r="B25" s="48" t="s">
        <v>72</v>
      </c>
      <c r="C25" s="81"/>
      <c r="D25" s="95"/>
      <c r="E25" s="81"/>
      <c r="F25" s="18" t="s">
        <v>431</v>
      </c>
      <c r="G25" s="18" t="s">
        <v>73</v>
      </c>
      <c r="H25" s="18" t="s">
        <v>88</v>
      </c>
      <c r="I25" s="18"/>
    </row>
    <row r="26" ht="26" spans="1:9">
      <c r="A26" s="11"/>
      <c r="B26" s="51" t="s">
        <v>75</v>
      </c>
      <c r="C26" s="81"/>
      <c r="D26" s="95"/>
      <c r="E26" s="81"/>
      <c r="F26" s="21">
        <f>354628+136342</f>
        <v>490970</v>
      </c>
      <c r="G26" s="21">
        <f>126712+192332+115899</f>
        <v>434943</v>
      </c>
      <c r="H26" s="21">
        <f>114330+115129</f>
        <v>229459</v>
      </c>
      <c r="I26" s="21"/>
    </row>
    <row r="27" ht="182" spans="1:9">
      <c r="A27" s="11"/>
      <c r="B27" s="52" t="s">
        <v>76</v>
      </c>
      <c r="C27" s="81"/>
      <c r="D27" s="95"/>
      <c r="E27" s="81"/>
      <c r="F27" s="103" t="s">
        <v>771</v>
      </c>
      <c r="G27" s="103" t="s">
        <v>772</v>
      </c>
      <c r="H27" s="91" t="s">
        <v>773</v>
      </c>
      <c r="I27" s="81"/>
    </row>
    <row r="28" ht="26" spans="1:9">
      <c r="A28" s="11"/>
      <c r="B28" s="55" t="s">
        <v>82</v>
      </c>
      <c r="C28" s="81"/>
      <c r="D28" s="95"/>
      <c r="E28" s="102"/>
      <c r="F28" s="95"/>
      <c r="G28" s="103"/>
      <c r="H28" s="16"/>
      <c r="I28" s="16"/>
    </row>
    <row r="29" ht="26" spans="1:9">
      <c r="A29" s="11"/>
      <c r="B29" s="56" t="s">
        <v>89</v>
      </c>
      <c r="C29" s="81"/>
      <c r="D29" s="81"/>
      <c r="E29" s="104"/>
      <c r="F29" s="105"/>
      <c r="G29" s="35"/>
      <c r="H29" s="107"/>
      <c r="I29" s="108"/>
    </row>
    <row r="32" ht="34" spans="1:9">
      <c r="A32" s="64" t="s">
        <v>774</v>
      </c>
      <c r="B32" s="61">
        <v>125524116633</v>
      </c>
      <c r="C32" s="61" t="s">
        <v>775</v>
      </c>
    </row>
    <row r="33" ht="34" spans="1:5">
      <c r="B33" s="61">
        <v>125519847847</v>
      </c>
      <c r="C33" s="61" t="s">
        <v>776</v>
      </c>
    </row>
    <row r="34" ht="17.6" spans="1:5">
      <c r="B34" s="63" t="s">
        <v>777</v>
      </c>
      <c r="C34" s="63" t="s">
        <v>778</v>
      </c>
      <c r="D34" s="63" t="s">
        <v>150</v>
      </c>
      <c r="E34" s="63" t="s">
        <v>779</v>
      </c>
    </row>
    <row r="35" ht="18" spans="1:5">
      <c r="B35" s="63" t="s">
        <v>780</v>
      </c>
      <c r="C35" s="63" t="s">
        <v>781</v>
      </c>
      <c r="D35" s="63" t="s">
        <v>782</v>
      </c>
      <c r="E35" s="63" t="s">
        <v>783</v>
      </c>
    </row>
    <row r="36" ht="18" spans="1:5">
      <c r="B36" s="63" t="s">
        <v>784</v>
      </c>
      <c r="C36" s="63" t="s">
        <v>785</v>
      </c>
      <c r="D36" s="63" t="s">
        <v>786</v>
      </c>
      <c r="E36" s="63" t="s">
        <v>787</v>
      </c>
    </row>
    <row r="37" ht="18" spans="1:5">
      <c r="B37" s="63" t="s">
        <v>788</v>
      </c>
      <c r="C37" s="63" t="s">
        <v>789</v>
      </c>
      <c r="D37" s="63" t="s">
        <v>790</v>
      </c>
      <c r="E37" s="63" t="s">
        <v>791</v>
      </c>
    </row>
    <row r="38" ht="18" spans="1:5">
      <c r="B38" s="63" t="s">
        <v>792</v>
      </c>
      <c r="C38" s="63" t="s">
        <v>793</v>
      </c>
      <c r="D38" s="63" t="s">
        <v>794</v>
      </c>
      <c r="E38" s="63" t="s">
        <v>795</v>
      </c>
    </row>
    <row r="39" ht="18" spans="1:5">
      <c r="B39" s="63" t="s">
        <v>796</v>
      </c>
      <c r="C39" s="63" t="s">
        <v>797</v>
      </c>
      <c r="D39" s="63" t="s">
        <v>798</v>
      </c>
      <c r="E39" s="63" t="s">
        <v>799</v>
      </c>
    </row>
    <row r="41" ht="24" customHeight="1" spans="1:5">
      <c r="A41" s="67" t="s">
        <v>800</v>
      </c>
      <c r="B41" s="65" t="s">
        <v>142</v>
      </c>
      <c r="C41" s="64"/>
      <c r="D41" s="64"/>
      <c r="E41" s="66"/>
    </row>
    <row r="42" ht="24" customHeight="1" spans="1:5">
      <c r="A42" s="67"/>
      <c r="B42" s="67" t="s">
        <v>801</v>
      </c>
      <c r="C42" s="71" t="s">
        <v>802</v>
      </c>
      <c r="D42" s="66" t="s">
        <v>803</v>
      </c>
      <c r="E42" s="64"/>
    </row>
    <row r="43" ht="24" customHeight="1" spans="1:5">
      <c r="A43" s="67"/>
      <c r="B43" s="67" t="s">
        <v>804</v>
      </c>
      <c r="C43" s="111" t="s">
        <v>805</v>
      </c>
      <c r="D43" s="66" t="s">
        <v>806</v>
      </c>
      <c r="E43" s="64"/>
    </row>
    <row r="44" ht="24" customHeight="1" spans="1:5">
      <c r="A44" s="67"/>
      <c r="B44" s="65" t="s">
        <v>807</v>
      </c>
      <c r="C44" s="65" t="s">
        <v>150</v>
      </c>
      <c r="D44" s="65" t="s">
        <v>151</v>
      </c>
      <c r="E44" s="65" t="s">
        <v>152</v>
      </c>
    </row>
    <row r="45" ht="24" customHeight="1" spans="1:5">
      <c r="A45" s="67"/>
      <c r="B45" s="112" t="s">
        <v>808</v>
      </c>
      <c r="C45" s="63" t="s">
        <v>809</v>
      </c>
      <c r="D45" s="63" t="s">
        <v>810</v>
      </c>
      <c r="E45" s="63" t="s">
        <v>811</v>
      </c>
    </row>
    <row r="46" ht="24" customHeight="1" spans="1:5">
      <c r="A46" s="67"/>
      <c r="B46" s="112" t="s">
        <v>812</v>
      </c>
      <c r="C46" s="63" t="s">
        <v>813</v>
      </c>
      <c r="D46" s="63" t="s">
        <v>814</v>
      </c>
      <c r="E46" s="63" t="s">
        <v>815</v>
      </c>
    </row>
    <row r="47" ht="24" customHeight="1" spans="1:5">
      <c r="A47" s="67"/>
      <c r="B47" s="112" t="s">
        <v>816</v>
      </c>
      <c r="C47" s="63" t="s">
        <v>817</v>
      </c>
      <c r="D47" s="63" t="s">
        <v>818</v>
      </c>
      <c r="E47" s="63" t="s">
        <v>819</v>
      </c>
    </row>
    <row r="48" ht="24" customHeight="1" spans="1:5">
      <c r="A48" s="67"/>
      <c r="B48" s="113" t="s">
        <v>820</v>
      </c>
      <c r="C48" s="70" t="s">
        <v>821</v>
      </c>
      <c r="D48" s="70" t="s">
        <v>822</v>
      </c>
      <c r="E48" s="70" t="s">
        <v>823</v>
      </c>
    </row>
    <row r="49" ht="24" customHeight="1" spans="1:5">
      <c r="A49" s="67"/>
      <c r="B49" s="113" t="s">
        <v>824</v>
      </c>
      <c r="C49" s="70" t="s">
        <v>825</v>
      </c>
      <c r="D49" s="70" t="s">
        <v>826</v>
      </c>
      <c r="E49" s="70" t="s">
        <v>827</v>
      </c>
    </row>
    <row r="50" ht="20.4" spans="1:5">
      <c r="A50" s="67" t="s">
        <v>828</v>
      </c>
      <c r="B50" s="65" t="s">
        <v>142</v>
      </c>
      <c r="C50" s="64"/>
      <c r="D50" s="64"/>
      <c r="E50" s="66"/>
    </row>
    <row r="51" ht="34" spans="1:5">
      <c r="A51" s="67"/>
      <c r="B51" s="67" t="s">
        <v>829</v>
      </c>
      <c r="C51" s="71" t="s">
        <v>830</v>
      </c>
      <c r="D51" s="66" t="s">
        <v>831</v>
      </c>
      <c r="E51" s="64"/>
    </row>
    <row r="52" ht="34" spans="1:5">
      <c r="A52" s="67"/>
      <c r="B52" s="67" t="s">
        <v>832</v>
      </c>
      <c r="C52" s="114" t="s">
        <v>833</v>
      </c>
      <c r="D52" s="66" t="s">
        <v>834</v>
      </c>
      <c r="E52" s="64"/>
    </row>
    <row r="53" ht="20.4" spans="1:5">
      <c r="A53" s="67"/>
      <c r="B53" s="65" t="s">
        <v>807</v>
      </c>
      <c r="C53" s="65" t="s">
        <v>150</v>
      </c>
      <c r="D53" s="65" t="s">
        <v>151</v>
      </c>
      <c r="E53" s="65" t="s">
        <v>152</v>
      </c>
    </row>
    <row r="54" ht="18" spans="1:5">
      <c r="A54" s="67"/>
      <c r="B54" s="112" t="s">
        <v>835</v>
      </c>
      <c r="C54" s="63" t="s">
        <v>836</v>
      </c>
      <c r="D54" s="63" t="s">
        <v>837</v>
      </c>
      <c r="E54" s="63" t="s">
        <v>838</v>
      </c>
    </row>
    <row r="55" ht="18" spans="1:5">
      <c r="A55" s="67"/>
      <c r="B55" s="112" t="s">
        <v>839</v>
      </c>
      <c r="C55" s="63" t="s">
        <v>840</v>
      </c>
      <c r="D55" s="63" t="s">
        <v>841</v>
      </c>
      <c r="E55" s="63" t="s">
        <v>842</v>
      </c>
    </row>
    <row r="56" ht="18" spans="1:5">
      <c r="A56" s="67"/>
      <c r="B56" s="112" t="s">
        <v>843</v>
      </c>
      <c r="C56" s="63" t="s">
        <v>844</v>
      </c>
      <c r="D56" s="63" t="s">
        <v>845</v>
      </c>
      <c r="E56" s="63" t="s">
        <v>846</v>
      </c>
    </row>
    <row r="57" ht="18" spans="1:5">
      <c r="A57" s="67"/>
      <c r="B57" s="113" t="s">
        <v>847</v>
      </c>
      <c r="C57" s="70" t="s">
        <v>848</v>
      </c>
      <c r="D57" s="70" t="s">
        <v>849</v>
      </c>
      <c r="E57" s="70" t="s">
        <v>850</v>
      </c>
    </row>
    <row r="58" ht="18" spans="1:5">
      <c r="A58" s="67"/>
      <c r="B58" s="113" t="s">
        <v>851</v>
      </c>
      <c r="C58" s="70" t="s">
        <v>852</v>
      </c>
      <c r="D58" s="70" t="s">
        <v>853</v>
      </c>
      <c r="E58" s="70" t="s">
        <v>854</v>
      </c>
    </row>
    <row r="59" ht="20.4" spans="1:5">
      <c r="A59" s="67" t="s">
        <v>855</v>
      </c>
      <c r="B59" s="65" t="s">
        <v>142</v>
      </c>
      <c r="C59" s="64"/>
      <c r="D59" s="64"/>
      <c r="E59" s="66"/>
    </row>
    <row r="60" ht="34" spans="1:5">
      <c r="A60" s="67"/>
      <c r="B60" s="67" t="s">
        <v>856</v>
      </c>
      <c r="C60" s="114" t="s">
        <v>857</v>
      </c>
      <c r="D60" s="66" t="s">
        <v>858</v>
      </c>
      <c r="E60" s="64"/>
    </row>
    <row r="61" ht="34" spans="1:5">
      <c r="A61" s="67"/>
      <c r="B61" s="67" t="s">
        <v>859</v>
      </c>
      <c r="C61" s="71" t="s">
        <v>860</v>
      </c>
      <c r="D61" s="66" t="s">
        <v>861</v>
      </c>
      <c r="E61" s="64"/>
    </row>
    <row r="62" ht="20.4" spans="1:5">
      <c r="A62" s="67"/>
      <c r="B62" s="65" t="s">
        <v>807</v>
      </c>
      <c r="C62" s="65" t="s">
        <v>150</v>
      </c>
      <c r="D62" s="65" t="s">
        <v>151</v>
      </c>
      <c r="E62" s="65" t="s">
        <v>152</v>
      </c>
    </row>
    <row r="63" ht="18" spans="1:5">
      <c r="A63" s="67"/>
      <c r="B63" s="112" t="s">
        <v>862</v>
      </c>
      <c r="C63" s="63" t="s">
        <v>863</v>
      </c>
      <c r="D63" s="63" t="s">
        <v>864</v>
      </c>
      <c r="E63" s="63" t="s">
        <v>865</v>
      </c>
    </row>
    <row r="64" ht="18" spans="1:5">
      <c r="A64" s="67"/>
      <c r="B64" s="112" t="s">
        <v>866</v>
      </c>
      <c r="C64" s="63" t="s">
        <v>867</v>
      </c>
      <c r="D64" s="63" t="s">
        <v>868</v>
      </c>
      <c r="E64" s="63" t="s">
        <v>869</v>
      </c>
    </row>
    <row r="65" ht="18" spans="1:5">
      <c r="A65" s="67"/>
      <c r="B65" s="112" t="s">
        <v>870</v>
      </c>
      <c r="C65" s="63" t="s">
        <v>871</v>
      </c>
      <c r="D65" s="63" t="s">
        <v>872</v>
      </c>
      <c r="E65" s="63" t="s">
        <v>873</v>
      </c>
    </row>
    <row r="66" ht="18" spans="1:5">
      <c r="A66" s="67"/>
      <c r="B66" s="113" t="s">
        <v>874</v>
      </c>
      <c r="C66" s="70" t="s">
        <v>875</v>
      </c>
      <c r="D66" s="70" t="s">
        <v>876</v>
      </c>
      <c r="E66" s="70" t="s">
        <v>877</v>
      </c>
    </row>
    <row r="67" ht="18" spans="1:5">
      <c r="A67" s="67"/>
      <c r="B67" s="113" t="s">
        <v>878</v>
      </c>
      <c r="C67" s="70" t="s">
        <v>879</v>
      </c>
      <c r="D67" s="70" t="s">
        <v>880</v>
      </c>
      <c r="E67" s="70" t="s">
        <v>881</v>
      </c>
    </row>
    <row r="68" ht="20.4" spans="1:5">
      <c r="A68" s="67" t="s">
        <v>882</v>
      </c>
      <c r="B68" s="65" t="s">
        <v>142</v>
      </c>
      <c r="C68" s="69"/>
      <c r="D68" s="64"/>
      <c r="E68" s="66"/>
    </row>
    <row r="69" ht="34" spans="1:5">
      <c r="A69" s="67"/>
      <c r="B69" s="67" t="s">
        <v>883</v>
      </c>
      <c r="C69" s="71" t="s">
        <v>884</v>
      </c>
      <c r="D69" s="66" t="s">
        <v>885</v>
      </c>
      <c r="E69" s="64"/>
    </row>
    <row r="70" ht="34" spans="1:5">
      <c r="A70" s="67"/>
      <c r="B70" s="67" t="s">
        <v>886</v>
      </c>
      <c r="C70" s="71" t="s">
        <v>887</v>
      </c>
      <c r="D70" s="66" t="s">
        <v>888</v>
      </c>
      <c r="E70" s="64"/>
    </row>
    <row r="71" ht="20.4" spans="1:5">
      <c r="A71" s="67"/>
      <c r="B71" s="65" t="s">
        <v>807</v>
      </c>
      <c r="C71" s="65" t="s">
        <v>150</v>
      </c>
      <c r="D71" s="65" t="s">
        <v>151</v>
      </c>
      <c r="E71" s="65" t="s">
        <v>152</v>
      </c>
    </row>
    <row r="72" ht="18" spans="1:5">
      <c r="A72" s="67"/>
      <c r="B72" s="63" t="s">
        <v>889</v>
      </c>
      <c r="C72" s="129" t="s">
        <v>890</v>
      </c>
      <c r="D72" s="130" t="s">
        <v>891</v>
      </c>
      <c r="E72" s="130" t="s">
        <v>892</v>
      </c>
    </row>
    <row r="73" ht="18" spans="1:5">
      <c r="A73" s="67"/>
      <c r="B73" s="63" t="s">
        <v>893</v>
      </c>
      <c r="C73" s="129" t="s">
        <v>894</v>
      </c>
      <c r="D73" s="130" t="s">
        <v>895</v>
      </c>
      <c r="E73" s="130" t="s">
        <v>896</v>
      </c>
    </row>
    <row r="74" ht="18" spans="1:5">
      <c r="A74" s="67"/>
      <c r="B74" s="63" t="s">
        <v>897</v>
      </c>
      <c r="C74" s="129" t="s">
        <v>898</v>
      </c>
      <c r="D74" s="130" t="s">
        <v>899</v>
      </c>
      <c r="E74" s="130" t="s">
        <v>900</v>
      </c>
    </row>
    <row r="75" ht="18" spans="1:5">
      <c r="A75" s="67"/>
      <c r="B75" s="70" t="s">
        <v>901</v>
      </c>
      <c r="C75" s="131" t="s">
        <v>902</v>
      </c>
      <c r="D75" s="132" t="s">
        <v>903</v>
      </c>
      <c r="E75" s="132" t="s">
        <v>904</v>
      </c>
    </row>
    <row r="76" ht="18" spans="1:5">
      <c r="A76" s="67"/>
      <c r="B76" s="70" t="s">
        <v>905</v>
      </c>
      <c r="C76" s="131" t="s">
        <v>906</v>
      </c>
      <c r="D76" s="132" t="s">
        <v>907</v>
      </c>
      <c r="E76" s="132" t="s">
        <v>908</v>
      </c>
    </row>
    <row r="77" ht="20.4" spans="1:5">
      <c r="A77" s="66" t="s">
        <v>141</v>
      </c>
      <c r="B77" s="65" t="s">
        <v>142</v>
      </c>
      <c r="C77" s="64"/>
      <c r="D77" s="64"/>
      <c r="E77" s="66"/>
    </row>
    <row r="78" ht="20.4" spans="1:5">
      <c r="A78" s="109" t="s">
        <v>909</v>
      </c>
      <c r="B78" s="67" t="s">
        <v>910</v>
      </c>
      <c r="C78" s="67" t="s">
        <v>510</v>
      </c>
      <c r="D78" s="66" t="s">
        <v>911</v>
      </c>
      <c r="E78" s="64"/>
    </row>
    <row r="79" ht="20.4" spans="1:5">
      <c r="A79" s="109"/>
      <c r="B79" s="67" t="s">
        <v>912</v>
      </c>
      <c r="C79" s="67" t="s">
        <v>513</v>
      </c>
      <c r="D79" s="66" t="s">
        <v>913</v>
      </c>
      <c r="E79" s="64"/>
    </row>
    <row r="80" ht="20.4" spans="1:5">
      <c r="A80" s="109"/>
      <c r="B80" s="65" t="s">
        <v>246</v>
      </c>
      <c r="C80" s="65" t="s">
        <v>150</v>
      </c>
      <c r="D80" s="65" t="s">
        <v>151</v>
      </c>
      <c r="E80" s="65" t="s">
        <v>152</v>
      </c>
    </row>
    <row r="81" ht="18" spans="1:5">
      <c r="A81" s="109"/>
      <c r="B81" s="63" t="s">
        <v>914</v>
      </c>
      <c r="C81" s="63" t="s">
        <v>915</v>
      </c>
      <c r="D81" s="63" t="s">
        <v>916</v>
      </c>
      <c r="E81" s="63" t="s">
        <v>917</v>
      </c>
    </row>
    <row r="82" ht="18" spans="1:5">
      <c r="A82" s="109"/>
      <c r="B82" s="63" t="s">
        <v>918</v>
      </c>
      <c r="C82" s="63" t="s">
        <v>919</v>
      </c>
      <c r="D82" s="63" t="s">
        <v>920</v>
      </c>
      <c r="E82" s="63" t="s">
        <v>921</v>
      </c>
    </row>
    <row r="83" ht="18" spans="1:5">
      <c r="A83" s="109"/>
      <c r="B83" s="63" t="s">
        <v>922</v>
      </c>
      <c r="C83" s="63" t="s">
        <v>923</v>
      </c>
      <c r="D83" s="63" t="s">
        <v>924</v>
      </c>
      <c r="E83" s="63" t="s">
        <v>925</v>
      </c>
    </row>
    <row r="84" ht="18" spans="1:5">
      <c r="A84" s="109"/>
      <c r="B84" s="133" t="s">
        <v>926</v>
      </c>
      <c r="C84" s="133" t="s">
        <v>927</v>
      </c>
      <c r="D84" s="133" t="s">
        <v>928</v>
      </c>
      <c r="E84" s="133" t="s">
        <v>929</v>
      </c>
    </row>
  </sheetData>
  <mergeCells count="15">
    <mergeCell ref="B1:H1"/>
    <mergeCell ref="A2:I2"/>
    <mergeCell ref="A10:B10"/>
    <mergeCell ref="A11:B11"/>
    <mergeCell ref="A5:A9"/>
    <mergeCell ref="A12:A17"/>
    <mergeCell ref="A18:A23"/>
    <mergeCell ref="A24:A29"/>
    <mergeCell ref="A32:A39"/>
    <mergeCell ref="A41:A49"/>
    <mergeCell ref="A50:A58"/>
    <mergeCell ref="A59:A67"/>
    <mergeCell ref="A68:A76"/>
    <mergeCell ref="A78:A84"/>
    <mergeCell ref="B3:B5"/>
  </mergeCells>
  <hyperlinks>
    <hyperlink ref="H12" r:id="rId1" display="【伪直播复用】&#10;收纳，不需要剪辑&#10;开播时间：晚上19:00&#10;强调“独家课堂”&#10;预约链接：https://s.xingqudao.net/SOYeXQE0"/>
    <hyperlink ref="D46" r:id="rId2" display="https://t1.nicegoods.cn/financial/experience-plan-sku?launchId=125619849150&amp;wcl=210500_14219329_financing"/>
    <hyperlink ref="E56" r:id="rId3" display="https://s.xingqudao.net/SOYeWgei"/>
    <hyperlink ref="C35" r:id="rId4" display="https://s.xingqudao.net/SOYeWQYL"/>
    <hyperlink ref="C36" r:id="rId5" display="https://s.xingqudao.net/SOYeWQYM"/>
    <hyperlink ref="B69" r:id="rId6" display="国际声乐（购物车链接）125632140734"/>
    <hyperlink ref="E83" r:id="rId7" display="https://s.xingqudao.net/SOYeWlP1"/>
    <hyperlink ref="D65" r:id="rId8" display="https://t1.nicegoods.cn/financial/experience-plan-sku?launchId=125619137329&amp;wcl=210500_14219340_financing"/>
    <hyperlink ref="E46" r:id="rId9" display="https://s.xingqudao.net/SOYeWgec"/>
    <hyperlink ref="E54" r:id="rId10" display="https://s.xingqudao.net/SOYeWgej"/>
    <hyperlink ref="E39" r:id="rId11" display="https://t1.nicegoods.cn/financial/experience-plan-sku?launchId=125519847847&amp;wcl=210500_14218929_financing"/>
    <hyperlink ref="E35" r:id="rId12" display="https://t1.nicegoods.cn/financial/experience-plan-sku?launchId=125519847847&amp;wcl=210500_14218930_financing"/>
    <hyperlink ref="E45" r:id="rId13" display="https://s.xingqudao.net/SOYeWgeb"/>
    <hyperlink ref="E81" r:id="rId14" display="https://s.xingqudao.net/SOYeWlOz"/>
    <hyperlink ref="D45" r:id="rId15" display="https://t1.nicegoods.cn/financial/experience-plan-sku?launchId=125619849150&amp;wcl=210500_14219328_financing"/>
    <hyperlink ref="E58" r:id="rId16" display="https://s.xingqudao.net/SOYeWgef"/>
    <hyperlink ref="D57" r:id="rId17" display="https://t1.nicegoods.cn/financial/experience-plan-sku?launchId=125617470183&amp;wcl=210500_14219331_financing"/>
    <hyperlink ref="E84" r:id="rId18" display="https://s.xingqudao.net/SOYeWlP2"/>
    <hyperlink ref="D67" r:id="rId19" display="https://t1.nicegoods.cn/financial/experience-plan-sku?launchId=125619137329&amp;wcl=210500_14219337_financing"/>
    <hyperlink ref="D55" r:id="rId20" display="https://t1.nicegoods.cn/financial/experience-plan-sku?launchId=125618255657&amp;wcl=210500_14219333_financing"/>
    <hyperlink ref="B70" r:id="rId21" display="国际声乐（弹幕专属）125633308846"/>
    <hyperlink ref="E64" r:id="rId22" display="https://s.xingqudao.net/SOYeWgeo"/>
    <hyperlink ref="D70" r:id="rId21" display="https://t1.nicegoods.cn/financial/experience-plan-sku?launchId=125633308846"/>
    <hyperlink ref="D81" r:id="rId23" display="https://t1.nicegoods.cn/financial/experience-plan-sku?launchId=125652162296&amp;wcl=210500_14220745_financing"/>
    <hyperlink ref="E57" r:id="rId24" display="https://s.xingqudao.net/SOYeWgee"/>
    <hyperlink ref="D74" r:id="rId25" display="https://t1.nicegoods.cn/financial/experience-plan-sku?launchId=125633308846&amp;wcl=210500_14220402_financing"/>
    <hyperlink ref="D58" r:id="rId26" display="https://t1.nicegoods.cn/financial/experience-plan-sku?launchId=125618255657&amp;wcl=210500_14219332_financing"/>
    <hyperlink ref="E65" r:id="rId27" display="https://s.xingqudao.net/SOYeWgep"/>
    <hyperlink ref="D42" r:id="rId28" display="https://t1.nicegoods.cn/financial/experience-plan-sku?launchId=125619848961"/>
    <hyperlink ref="E37" r:id="rId29" display="https://t1.nicegoods.cn/financial/experience-plan-sku?launchId=125519847847&amp;wcl=210500_14218932_financing"/>
    <hyperlink ref="D43" r:id="rId30" display="https://t1.nicegoods.cn/financial/experience-plan-sku?launchId=125619849150"/>
    <hyperlink ref="G12" r:id="rId31" display="【伪直播复用】&#10;一杰瑜伽&#10;复用4.2&#10;强调“独家课堂”&#10;预约链接：https://s.xingqudao.net/SOYeXPne"/>
    <hyperlink ref="D64" r:id="rId32" display="https://t1.nicegoods.cn/financial/experience-plan-sku?launchId=125619137329&amp;wcl=210500_14219339_financing"/>
    <hyperlink ref="D83" r:id="rId33" display="https://t1.nicegoods.cn/financial/experience-plan-sku?launchId=125652162296&amp;wcl=210500_14220747_financing"/>
    <hyperlink ref="D60" r:id="rId34" display="https://t1.nicegoods.cn/financial/experience-plan-sku?launchId=125617475338"/>
    <hyperlink ref="D72" r:id="rId35" display="https://t1.nicegoods.cn/financial/experience-plan-sku?launchId=125633308846&amp;wcl=210500_14220403_financing"/>
    <hyperlink ref="D63" r:id="rId36" display="https://t1.nicegoods.cn/financial/experience-plan-sku?launchId=125619137329&amp;wcl=210500_14219338_financing"/>
    <hyperlink ref="E66" r:id="rId37" display="https://s.xingqudao.net/SOYeWgek"/>
    <hyperlink ref="E72" r:id="rId38" display="https://s.xingqudao.net/SOYeWj3D"/>
    <hyperlink ref="D49" r:id="rId39" display="https://t1.nicegoods.cn/financial/experience-plan-sku?launchId=125619849150&amp;wcl=210500_14219327_financing"/>
    <hyperlink ref="D73" r:id="rId40" display="https://t1.nicegoods.cn/financial/experience-plan-sku?launchId=125633308846&amp;wcl=210500_14220404_financing"/>
    <hyperlink ref="H24" r:id="rId41" display="短视频复用（跟4.11一样）&#10;不需要剪辑&#10;开播时间：晚上19:00&#10;预约链接：https://s.xingqudao.net/SOYeXQFp"/>
    <hyperlink ref="E82" r:id="rId42" display="https://s.xingqudao.net/SOYeWlP0"/>
    <hyperlink ref="E75" r:id="rId43" display="https://s.xingqudao.net/SOYeWj3F"/>
    <hyperlink ref="E55" r:id="rId44" display="https://s.xingqudao.net/SOYeWgeh"/>
    <hyperlink ref="D48" r:id="rId45" display="https://t1.nicegoods.cn/financial/experience-plan-sku?launchId=125619848961&amp;wcl=210500_14219326_financing"/>
    <hyperlink ref="E47" r:id="rId46" display="https://s.xingqudao.net/SOYeWged"/>
    <hyperlink ref="D52" r:id="rId47" display="https://t1.nicegoods.cn/financial/experience-plan-sku?launchId=125618255657"/>
    <hyperlink ref="C39" r:id="rId48" display="https://s.xingqudao.net/SOYeWQYK"/>
    <hyperlink ref="D76" r:id="rId49" display="https://t1.nicegoods.cn/financial/experience-plan-sku?launchId=125633308846&amp;wcl=210500_14220406_financing"/>
    <hyperlink ref="E73" r:id="rId50" display="https://s.xingqudao.net/SOYeWj3E"/>
    <hyperlink ref="D47" r:id="rId51" display="https://t1.nicegoods.cn/financial/experience-plan-sku?launchId=125619849150&amp;wcl=210500_14219330_financing"/>
    <hyperlink ref="D66" r:id="rId52" display="https://t1.nicegoods.cn/financial/experience-plan-sku?launchId=125617475338&amp;wcl=210500_14219336_financing"/>
    <hyperlink ref="E63" r:id="rId53" display="https://s.xingqudao.net/SOYeWgem"/>
    <hyperlink ref="D75" r:id="rId54" display="https://t1.nicegoods.cn/financial/experience-plan-sku?launchId=125632140734&amp;wcl=210500_14220405_financing"/>
    <hyperlink ref="D82" r:id="rId55" display="https://t1.nicegoods.cn/financial/experience-plan-sku?launchId=125652162296&amp;wcl=210500_14220746_financing"/>
    <hyperlink ref="D56" r:id="rId56" display="https://t1.nicegoods.cn/financial/experience-plan-sku?launchId=125618255657&amp;wcl=210500_14219334_financing"/>
    <hyperlink ref="E49" r:id="rId57" display="https://s.xingqudao.net/SOYeWgeZ"/>
    <hyperlink ref="D69" r:id="rId6" display="https://t1.nicegoods.cn/financial/experience-plan-sku?launchId=125632140734"/>
    <hyperlink ref="E38" r:id="rId58" display="https://t1.nicegoods.cn/financial/experience-plan-sku?launchId=125519847847&amp;wcl=210500_14218928_financing"/>
    <hyperlink ref="E74" r:id="rId59" display="https://s.xingqudao.net/SOYeWj3C"/>
    <hyperlink ref="D54" r:id="rId60" display="https://t1.nicegoods.cn/financial/experience-plan-sku?launchId=125618255657&amp;wcl=210500_14219335_financing"/>
    <hyperlink ref="E76" r:id="rId61" display="https://s.xingqudao.net/SOYeWj3G"/>
    <hyperlink ref="E67" r:id="rId62" display="https://s.xingqudao.net/SOYeWgel"/>
    <hyperlink ref="E48" r:id="rId63" display="https://s.xingqudao.net/SOYeWgeY"/>
    <hyperlink ref="D61" r:id="rId64" display="https://t1.nicegoods.cn/financial/experience-plan-sku?launchId=125619137329"/>
    <hyperlink ref="D84" r:id="rId65" display="https://t1.nicegoods.cn/financial/experience-plan-sku?launchId=125658102272&amp;wcl=210500_14220748_financing"/>
    <hyperlink ref="C37" r:id="rId66" display="https://s.xingqudao.net/SOYeWQYN"/>
    <hyperlink ref="D51" r:id="rId67" display="https://t1.nicegoods.cn/financial/experience-plan-sku?launchId=125617470183"/>
    <hyperlink ref="C38" r:id="rId68" display="https://s.xingqudao.net/SOYeWQYH"/>
    <hyperlink ref="G24" r:id="rId69" display="王溪健康营养&#10;        复用4.15   &#10;开播时间：晚上19:00&#10;单课ID：125875823590&#10;预约链接：https://s.xingqudao.net/SOYeYAFZ"/>
    <hyperlink ref="E36" r:id="rId70" display="https://t1.nicegoods.cn/financial/experience-plan-sku?launchId=125524116633&amp;wcl=210500_14218931_financing"/>
    <hyperlink ref="F24" r:id="rId71" display="唱歌燃复用，不需要剪辑（直播间id:3660444337）&#10;开播时间：晚上19:00&#10;单课ID：115804645632&#10;预约链接：https://s.xingqudao.net/SOYeWgt4&#10;&#10;智能纪要：2026年2月w1唱歌燃伪直播 2026年2月3日 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72"/>
  <sheetViews>
    <sheetView workbookViewId="0">
      <selection activeCell="A1" sqref="A1"/>
    </sheetView>
  </sheetViews>
  <sheetFormatPr defaultColWidth="14" defaultRowHeight="15.2"/>
  <cols>
    <col min="1" max="1" width="25" customWidth="1"/>
    <col min="2" max="2" width="52" customWidth="1"/>
    <col min="3" max="3" width="53" customWidth="1"/>
    <col min="4" max="4" width="55" customWidth="1"/>
    <col min="5" max="5" width="53" customWidth="1"/>
    <col min="6" max="6" width="55" customWidth="1"/>
    <col min="7" max="7" width="56" customWidth="1"/>
    <col min="8" max="9" width="55" customWidth="1"/>
    <col min="11" max="11" width="40" customWidth="1"/>
  </cols>
  <sheetData>
    <row r="1" ht="21" spans="1:9">
      <c r="A1" s="76" t="s">
        <v>420</v>
      </c>
      <c r="B1" s="77" t="s">
        <v>421</v>
      </c>
      <c r="C1" s="77"/>
      <c r="D1" s="77"/>
      <c r="E1" s="77"/>
      <c r="F1" s="77"/>
      <c r="G1" s="77"/>
      <c r="H1" s="77"/>
    </row>
    <row r="2" ht="35" spans="1:9">
      <c r="A2" s="78" t="s">
        <v>422</v>
      </c>
      <c r="B2" s="78"/>
      <c r="C2" s="78"/>
      <c r="D2" s="78"/>
      <c r="E2" s="78"/>
      <c r="F2" s="78"/>
      <c r="G2" s="78"/>
      <c r="H2" s="78"/>
      <c r="I2" s="78"/>
    </row>
    <row r="3" ht="26" spans="1:9">
      <c r="A3" s="79" t="s">
        <v>56</v>
      </c>
      <c r="B3" s="6" t="s">
        <v>57</v>
      </c>
      <c r="C3" s="7" t="s">
        <v>58</v>
      </c>
      <c r="D3" s="6" t="s">
        <v>59</v>
      </c>
      <c r="E3" s="7" t="s">
        <v>60</v>
      </c>
      <c r="F3" s="7" t="s">
        <v>61</v>
      </c>
      <c r="G3" s="7" t="s">
        <v>62</v>
      </c>
      <c r="H3" s="7" t="s">
        <v>63</v>
      </c>
      <c r="I3" s="7" t="s">
        <v>64</v>
      </c>
    </row>
    <row r="4" ht="26" spans="1:9">
      <c r="A4" s="80" t="s">
        <v>65</v>
      </c>
      <c r="B4" s="6"/>
      <c r="C4" s="9">
        <v>13</v>
      </c>
      <c r="D4" s="10">
        <v>14</v>
      </c>
      <c r="E4" s="10">
        <v>15</v>
      </c>
      <c r="F4" s="10">
        <v>16</v>
      </c>
      <c r="G4" s="9">
        <v>17</v>
      </c>
      <c r="H4" s="10">
        <v>18</v>
      </c>
      <c r="I4" s="10">
        <v>19</v>
      </c>
    </row>
    <row r="5" ht="129" customHeight="1" spans="1:9">
      <c r="A5" s="11" t="s">
        <v>66</v>
      </c>
      <c r="B5" s="6"/>
      <c r="C5" s="12"/>
      <c r="D5" s="14" t="s">
        <v>930</v>
      </c>
      <c r="E5" s="13" t="s">
        <v>931</v>
      </c>
      <c r="F5" s="14" t="s">
        <v>932</v>
      </c>
      <c r="G5" s="13" t="s">
        <v>67</v>
      </c>
      <c r="H5" s="46" t="s">
        <v>933</v>
      </c>
      <c r="I5" s="81"/>
    </row>
    <row r="6" ht="26" spans="1:9">
      <c r="A6" s="11"/>
      <c r="B6" s="17" t="s">
        <v>72</v>
      </c>
      <c r="C6" s="12"/>
      <c r="D6" s="18" t="s">
        <v>73</v>
      </c>
      <c r="E6" s="18" t="s">
        <v>74</v>
      </c>
      <c r="F6" s="18" t="s">
        <v>74</v>
      </c>
      <c r="G6" s="18" t="s">
        <v>73</v>
      </c>
      <c r="H6" s="18" t="s">
        <v>74</v>
      </c>
      <c r="I6" s="81"/>
    </row>
    <row r="7" ht="26" spans="1:9">
      <c r="A7" s="11"/>
      <c r="B7" s="20" t="s">
        <v>75</v>
      </c>
      <c r="C7" s="12"/>
      <c r="D7" s="22">
        <f>279635+207987</f>
        <v>487622</v>
      </c>
      <c r="E7" s="22">
        <v>354150</v>
      </c>
      <c r="F7" s="22">
        <f>115542+77422+18006+142776</f>
        <v>353746</v>
      </c>
      <c r="G7" s="22">
        <v>420114</v>
      </c>
      <c r="H7" s="22">
        <v>207987</v>
      </c>
      <c r="I7" s="81"/>
    </row>
    <row r="8" ht="78" customHeight="1" spans="1:9">
      <c r="A8" s="11"/>
      <c r="B8" s="24" t="s">
        <v>76</v>
      </c>
      <c r="C8" s="12"/>
      <c r="D8" s="16" t="s">
        <v>934</v>
      </c>
      <c r="E8" s="82"/>
      <c r="F8" s="26"/>
      <c r="G8" s="16" t="s">
        <v>935</v>
      </c>
      <c r="H8" s="27"/>
      <c r="I8" s="81"/>
    </row>
    <row r="9" ht="233" customHeight="1" spans="1:9">
      <c r="A9" s="11"/>
      <c r="B9" s="28" t="s">
        <v>82</v>
      </c>
      <c r="C9" s="12"/>
      <c r="D9" s="16" t="s">
        <v>936</v>
      </c>
      <c r="E9" s="26" t="s">
        <v>937</v>
      </c>
      <c r="F9" s="26" t="s">
        <v>938</v>
      </c>
      <c r="G9" s="82"/>
      <c r="H9" s="26" t="s">
        <v>939</v>
      </c>
      <c r="I9" s="81"/>
    </row>
    <row r="10" ht="54" customHeight="1" spans="1:9">
      <c r="A10" s="11" t="s">
        <v>455</v>
      </c>
      <c r="B10" s="11"/>
      <c r="C10" s="81"/>
      <c r="D10" s="83" t="s">
        <v>940</v>
      </c>
      <c r="E10" s="83" t="s">
        <v>940</v>
      </c>
      <c r="F10" s="84" t="s">
        <v>941</v>
      </c>
      <c r="G10" s="21"/>
      <c r="H10" s="34"/>
      <c r="I10" s="81"/>
    </row>
    <row r="11" ht="54" customHeight="1" spans="1:9">
      <c r="A11" s="11" t="s">
        <v>942</v>
      </c>
      <c r="B11" s="11"/>
      <c r="C11" s="31"/>
      <c r="D11" s="21"/>
      <c r="E11" s="85" t="s">
        <v>943</v>
      </c>
      <c r="F11" s="85" t="s">
        <v>944</v>
      </c>
      <c r="G11" s="21"/>
      <c r="H11" s="34"/>
      <c r="I11" s="81"/>
    </row>
    <row r="12" ht="52" spans="1:9">
      <c r="A12" s="11" t="s">
        <v>84</v>
      </c>
      <c r="B12" s="30" t="s">
        <v>85</v>
      </c>
      <c r="C12" s="31"/>
      <c r="D12" s="86" t="s">
        <v>945</v>
      </c>
      <c r="E12" s="87" t="s">
        <v>946</v>
      </c>
      <c r="F12" s="31"/>
      <c r="G12" s="86" t="s">
        <v>947</v>
      </c>
      <c r="H12" s="34"/>
      <c r="I12" s="81"/>
    </row>
    <row r="13" ht="26" spans="1:9">
      <c r="A13" s="11"/>
      <c r="B13" s="17" t="s">
        <v>72</v>
      </c>
      <c r="C13" s="35"/>
      <c r="D13" s="18" t="s">
        <v>88</v>
      </c>
      <c r="E13" s="18" t="s">
        <v>73</v>
      </c>
      <c r="F13" s="18"/>
      <c r="G13" s="18" t="s">
        <v>88</v>
      </c>
      <c r="H13" s="34"/>
      <c r="I13" s="81"/>
    </row>
    <row r="14" ht="26" spans="1:9">
      <c r="A14" s="11"/>
      <c r="B14" s="36" t="s">
        <v>75</v>
      </c>
      <c r="C14" s="31"/>
      <c r="D14" s="21">
        <f>133294+106769+245946+21556</f>
        <v>507565</v>
      </c>
      <c r="E14" s="21">
        <f>162962+72595+184328+278718</f>
        <v>698603</v>
      </c>
      <c r="F14" s="88"/>
      <c r="G14" s="89">
        <f>10495+101241+204464+225287</f>
        <v>541487</v>
      </c>
      <c r="H14" s="34"/>
      <c r="I14" s="81"/>
    </row>
    <row r="15" ht="26" spans="1:9">
      <c r="A15" s="11"/>
      <c r="B15" s="24" t="s">
        <v>76</v>
      </c>
      <c r="C15" s="37"/>
      <c r="D15" s="16"/>
      <c r="E15" s="21"/>
      <c r="F15" s="90"/>
      <c r="G15" s="26"/>
      <c r="H15" s="34"/>
      <c r="I15" s="81"/>
    </row>
    <row r="16" ht="26" spans="1:9">
      <c r="A16" s="11"/>
      <c r="B16" s="28" t="s">
        <v>82</v>
      </c>
      <c r="C16" s="38"/>
      <c r="D16" s="82"/>
      <c r="E16" s="91" t="s">
        <v>948</v>
      </c>
      <c r="F16" s="82"/>
      <c r="G16" s="16"/>
      <c r="H16" s="34"/>
      <c r="I16" s="81"/>
    </row>
    <row r="17" ht="234" spans="1:9">
      <c r="A17" s="11"/>
      <c r="B17" s="39" t="s">
        <v>89</v>
      </c>
      <c r="C17" s="40"/>
      <c r="D17" s="92" t="s">
        <v>949</v>
      </c>
      <c r="E17" s="92"/>
      <c r="F17" s="42"/>
      <c r="G17" s="25" t="s">
        <v>950</v>
      </c>
      <c r="H17" s="43"/>
      <c r="I17" s="81"/>
    </row>
    <row r="18" ht="94" spans="1:9">
      <c r="A18" s="11" t="s">
        <v>84</v>
      </c>
      <c r="B18" s="6" t="s">
        <v>85</v>
      </c>
      <c r="C18" s="87" t="s">
        <v>951</v>
      </c>
      <c r="D18" s="16"/>
      <c r="E18" s="85" t="s">
        <v>943</v>
      </c>
      <c r="F18" s="85" t="s">
        <v>944</v>
      </c>
      <c r="G18" s="87" t="s">
        <v>952</v>
      </c>
      <c r="H18" s="93" t="s">
        <v>953</v>
      </c>
      <c r="I18" s="93"/>
    </row>
    <row r="19" ht="26" spans="1:9">
      <c r="A19" s="11"/>
      <c r="B19" s="48" t="s">
        <v>72</v>
      </c>
      <c r="C19" s="18" t="s">
        <v>73</v>
      </c>
      <c r="D19" s="94"/>
      <c r="E19" s="94"/>
      <c r="F19" s="81"/>
      <c r="G19" s="18" t="s">
        <v>73</v>
      </c>
      <c r="H19" s="18" t="s">
        <v>73</v>
      </c>
      <c r="I19" s="18"/>
    </row>
    <row r="20" ht="26" spans="1:9">
      <c r="A20" s="11"/>
      <c r="B20" s="51" t="s">
        <v>75</v>
      </c>
      <c r="C20" s="21">
        <f>126845+122457</f>
        <v>249302</v>
      </c>
      <c r="D20" s="88"/>
      <c r="E20" s="88"/>
      <c r="F20" s="81"/>
      <c r="G20" s="21">
        <v>184114</v>
      </c>
      <c r="H20" s="22">
        <v>276225</v>
      </c>
      <c r="I20" s="22"/>
    </row>
    <row r="21" ht="130" spans="1:9">
      <c r="A21" s="11"/>
      <c r="B21" s="52" t="s">
        <v>76</v>
      </c>
      <c r="C21" s="25" t="s">
        <v>954</v>
      </c>
      <c r="D21" s="82"/>
      <c r="E21" s="82"/>
      <c r="F21" s="81"/>
      <c r="G21" s="92" t="s">
        <v>955</v>
      </c>
      <c r="H21" s="25" t="s">
        <v>956</v>
      </c>
      <c r="I21" s="25"/>
    </row>
    <row r="22" ht="26" spans="1:9">
      <c r="A22" s="11"/>
      <c r="B22" s="55" t="s">
        <v>82</v>
      </c>
      <c r="C22" s="81"/>
      <c r="D22" s="81"/>
      <c r="E22" s="81"/>
      <c r="F22" s="95"/>
      <c r="G22" s="81"/>
      <c r="H22" s="96"/>
      <c r="I22" s="81"/>
    </row>
    <row r="23" ht="26" spans="1:9">
      <c r="A23" s="11"/>
      <c r="B23" s="56" t="s">
        <v>89</v>
      </c>
      <c r="C23" s="81"/>
      <c r="D23" s="81"/>
      <c r="E23" s="97" t="s">
        <v>957</v>
      </c>
      <c r="F23" s="98" t="s">
        <v>957</v>
      </c>
      <c r="G23" s="81"/>
      <c r="H23" s="99"/>
      <c r="I23" s="81"/>
    </row>
    <row r="24" ht="109" spans="1:9">
      <c r="A24" s="11" t="s">
        <v>767</v>
      </c>
      <c r="B24" s="6" t="s">
        <v>85</v>
      </c>
      <c r="C24" s="81"/>
      <c r="D24" s="95"/>
      <c r="E24" s="81"/>
      <c r="F24" s="81"/>
      <c r="G24" s="100" t="s">
        <v>958</v>
      </c>
      <c r="H24" s="101" t="s">
        <v>959</v>
      </c>
      <c r="I24" s="100" t="s">
        <v>960</v>
      </c>
    </row>
    <row r="25" ht="26" spans="1:9">
      <c r="A25" s="11"/>
      <c r="B25" s="48" t="s">
        <v>72</v>
      </c>
      <c r="C25" s="81"/>
      <c r="D25" s="95"/>
      <c r="E25" s="81"/>
      <c r="F25" s="95"/>
      <c r="G25" s="18" t="s">
        <v>74</v>
      </c>
      <c r="H25" s="18" t="s">
        <v>74</v>
      </c>
      <c r="I25" s="18" t="s">
        <v>431</v>
      </c>
    </row>
    <row r="26" ht="26" spans="1:9">
      <c r="A26" s="11"/>
      <c r="B26" s="51" t="s">
        <v>75</v>
      </c>
      <c r="C26" s="81"/>
      <c r="D26" s="95"/>
      <c r="E26" s="81"/>
      <c r="F26" s="95"/>
      <c r="G26" s="21">
        <f>223119</f>
        <v>223119</v>
      </c>
      <c r="H26" s="21">
        <f>279160+153071+50093</f>
        <v>482324</v>
      </c>
      <c r="I26" s="21">
        <f>21556+245946</f>
        <v>267502</v>
      </c>
    </row>
    <row r="27" ht="26" spans="1:9">
      <c r="A27" s="11"/>
      <c r="B27" s="52" t="s">
        <v>76</v>
      </c>
      <c r="C27" s="81"/>
      <c r="D27" s="95"/>
      <c r="E27" s="81"/>
      <c r="F27" s="95"/>
      <c r="G27" s="35"/>
      <c r="H27" s="16"/>
      <c r="I27" s="81"/>
    </row>
    <row r="28" ht="130" spans="1:9">
      <c r="A28" s="11"/>
      <c r="B28" s="55" t="s">
        <v>82</v>
      </c>
      <c r="C28" s="81"/>
      <c r="D28" s="95"/>
      <c r="E28" s="102"/>
      <c r="F28" s="95"/>
      <c r="G28" s="103" t="s">
        <v>961</v>
      </c>
      <c r="H28" s="16" t="s">
        <v>764</v>
      </c>
      <c r="I28" s="16" t="s">
        <v>962</v>
      </c>
    </row>
    <row r="29" ht="26" spans="1:9">
      <c r="A29" s="11"/>
      <c r="B29" s="56" t="s">
        <v>89</v>
      </c>
      <c r="C29" s="81"/>
      <c r="D29" s="81"/>
      <c r="E29" s="104"/>
      <c r="F29" s="105"/>
      <c r="G29" s="106"/>
      <c r="H29" s="107"/>
      <c r="I29" s="108"/>
    </row>
    <row r="31" ht="20.4" spans="1:9">
      <c r="A31" s="109" t="s">
        <v>963</v>
      </c>
      <c r="B31" s="67" t="s">
        <v>964</v>
      </c>
      <c r="C31" s="67" t="s">
        <v>965</v>
      </c>
      <c r="D31" s="66" t="s">
        <v>966</v>
      </c>
      <c r="E31" s="64"/>
    </row>
    <row r="32" ht="20.4" spans="1:9">
      <c r="A32" s="109"/>
      <c r="B32" s="67" t="s">
        <v>967</v>
      </c>
      <c r="C32" s="67" t="s">
        <v>968</v>
      </c>
      <c r="D32" s="66" t="s">
        <v>969</v>
      </c>
      <c r="E32" s="64"/>
    </row>
    <row r="33" ht="20.4" spans="1:5">
      <c r="A33" s="109"/>
      <c r="B33" s="65" t="s">
        <v>970</v>
      </c>
      <c r="C33" s="65" t="s">
        <v>150</v>
      </c>
      <c r="D33" s="65" t="s">
        <v>151</v>
      </c>
      <c r="E33" s="65" t="s">
        <v>152</v>
      </c>
    </row>
    <row r="34" ht="18" spans="1:5">
      <c r="A34" s="109"/>
      <c r="B34" s="63" t="s">
        <v>971</v>
      </c>
      <c r="C34" s="63" t="s">
        <v>972</v>
      </c>
      <c r="D34" s="63" t="s">
        <v>973</v>
      </c>
      <c r="E34" s="63" t="s">
        <v>974</v>
      </c>
    </row>
    <row r="35" ht="18" spans="1:5">
      <c r="A35" s="109"/>
      <c r="B35" s="63" t="s">
        <v>975</v>
      </c>
      <c r="C35" s="63" t="s">
        <v>976</v>
      </c>
      <c r="D35" s="63" t="s">
        <v>977</v>
      </c>
      <c r="E35" s="63" t="s">
        <v>978</v>
      </c>
    </row>
    <row r="36" ht="18" spans="1:5">
      <c r="A36" s="109"/>
      <c r="B36" s="110" t="s">
        <v>979</v>
      </c>
      <c r="C36" s="110" t="s">
        <v>980</v>
      </c>
      <c r="D36" s="110" t="s">
        <v>981</v>
      </c>
      <c r="E36" s="110" t="s">
        <v>982</v>
      </c>
    </row>
    <row r="37" ht="20.4" spans="1:5">
      <c r="A37" s="67" t="s">
        <v>983</v>
      </c>
      <c r="B37" s="65" t="s">
        <v>142</v>
      </c>
      <c r="C37" s="69"/>
      <c r="D37" s="64"/>
      <c r="E37" s="66"/>
    </row>
    <row r="38" ht="34" spans="1:5">
      <c r="A38" s="67"/>
      <c r="B38" s="67" t="s">
        <v>984</v>
      </c>
      <c r="C38" s="71" t="s">
        <v>985</v>
      </c>
      <c r="D38" s="66" t="s">
        <v>986</v>
      </c>
      <c r="E38" s="64"/>
    </row>
    <row r="39" ht="34" spans="1:5">
      <c r="A39" s="67"/>
      <c r="B39" s="67" t="s">
        <v>987</v>
      </c>
      <c r="C39" s="71" t="s">
        <v>988</v>
      </c>
      <c r="D39" s="66" t="s">
        <v>989</v>
      </c>
      <c r="E39" s="64"/>
    </row>
    <row r="40" ht="20.4" spans="1:5">
      <c r="A40" s="67"/>
      <c r="B40" s="65" t="s">
        <v>807</v>
      </c>
      <c r="C40" s="65" t="s">
        <v>150</v>
      </c>
      <c r="D40" s="65" t="s">
        <v>151</v>
      </c>
      <c r="E40" s="65" t="s">
        <v>152</v>
      </c>
    </row>
    <row r="41" ht="18" spans="1:5">
      <c r="A41" s="67"/>
      <c r="B41" s="63" t="s">
        <v>990</v>
      </c>
      <c r="C41" s="63" t="s">
        <v>991</v>
      </c>
      <c r="D41" s="63" t="s">
        <v>992</v>
      </c>
      <c r="E41" s="63" t="s">
        <v>993</v>
      </c>
    </row>
    <row r="42" ht="18" spans="1:5">
      <c r="A42" s="67"/>
      <c r="B42" s="63" t="s">
        <v>994</v>
      </c>
      <c r="C42" s="63" t="s">
        <v>995</v>
      </c>
      <c r="D42" s="63" t="s">
        <v>996</v>
      </c>
      <c r="E42" s="63" t="s">
        <v>997</v>
      </c>
    </row>
    <row r="43" ht="18" spans="1:5">
      <c r="A43" s="67"/>
      <c r="B43" s="63" t="s">
        <v>998</v>
      </c>
      <c r="C43" s="63" t="s">
        <v>999</v>
      </c>
      <c r="D43" s="63" t="s">
        <v>1000</v>
      </c>
      <c r="E43" s="63" t="s">
        <v>1001</v>
      </c>
    </row>
    <row r="44" ht="18" spans="1:5">
      <c r="A44" s="67"/>
      <c r="B44" s="70" t="s">
        <v>1002</v>
      </c>
      <c r="C44" s="70" t="s">
        <v>1003</v>
      </c>
      <c r="D44" s="70" t="s">
        <v>1004</v>
      </c>
      <c r="E44" s="70" t="s">
        <v>1005</v>
      </c>
    </row>
    <row r="45" ht="18" spans="1:5">
      <c r="A45" s="67"/>
      <c r="B45" s="70" t="s">
        <v>1006</v>
      </c>
      <c r="C45" s="70" t="s">
        <v>1007</v>
      </c>
      <c r="D45" s="70" t="s">
        <v>1008</v>
      </c>
      <c r="E45" s="70" t="s">
        <v>1009</v>
      </c>
    </row>
    <row r="46" ht="20.4" spans="1:5">
      <c r="A46" s="67" t="s">
        <v>1010</v>
      </c>
      <c r="B46" s="65" t="s">
        <v>142</v>
      </c>
      <c r="C46" s="69"/>
      <c r="D46" s="64"/>
      <c r="E46" s="66"/>
    </row>
    <row r="47" ht="34" spans="1:5">
      <c r="A47" s="67"/>
      <c r="B47" s="67" t="s">
        <v>1011</v>
      </c>
      <c r="C47" s="111" t="s">
        <v>1012</v>
      </c>
      <c r="D47" s="66" t="s">
        <v>1013</v>
      </c>
      <c r="E47" s="64"/>
    </row>
    <row r="48" ht="34" spans="1:5">
      <c r="A48" s="67"/>
      <c r="B48" s="67" t="s">
        <v>1014</v>
      </c>
      <c r="C48" s="71" t="s">
        <v>1015</v>
      </c>
      <c r="D48" s="66" t="s">
        <v>1016</v>
      </c>
      <c r="E48" s="64"/>
    </row>
    <row r="49" ht="20.4" spans="1:8">
      <c r="A49" s="67"/>
      <c r="B49" s="65" t="s">
        <v>807</v>
      </c>
      <c r="C49" s="65" t="s">
        <v>150</v>
      </c>
      <c r="D49" s="65" t="s">
        <v>151</v>
      </c>
      <c r="E49" s="65" t="s">
        <v>152</v>
      </c>
    </row>
    <row r="50" ht="18" spans="1:8">
      <c r="A50" s="67"/>
      <c r="B50" s="112" t="s">
        <v>1017</v>
      </c>
      <c r="C50" s="63" t="s">
        <v>1018</v>
      </c>
      <c r="D50" s="63" t="s">
        <v>1019</v>
      </c>
      <c r="E50" s="63" t="s">
        <v>1020</v>
      </c>
      <c r="F50" s="63"/>
      <c r="G50" s="63"/>
      <c r="H50" s="63"/>
    </row>
    <row r="51" ht="18" spans="1:8">
      <c r="A51" s="67"/>
      <c r="B51" s="112" t="s">
        <v>1021</v>
      </c>
      <c r="C51" s="63" t="s">
        <v>1022</v>
      </c>
      <c r="D51" s="63" t="s">
        <v>1023</v>
      </c>
      <c r="E51" s="63" t="s">
        <v>1024</v>
      </c>
      <c r="F51" s="63"/>
      <c r="G51" s="63"/>
      <c r="H51" s="63"/>
    </row>
    <row r="52" ht="18" spans="1:8">
      <c r="A52" s="67"/>
      <c r="B52" s="112" t="s">
        <v>1025</v>
      </c>
      <c r="C52" s="63" t="s">
        <v>1026</v>
      </c>
      <c r="D52" s="63" t="s">
        <v>1027</v>
      </c>
      <c r="E52" s="63" t="s">
        <v>1028</v>
      </c>
      <c r="F52" s="63"/>
      <c r="G52" s="63"/>
      <c r="H52" s="63"/>
    </row>
    <row r="53" ht="18" spans="1:8">
      <c r="A53" s="67"/>
      <c r="B53" s="113" t="s">
        <v>1029</v>
      </c>
      <c r="C53" s="70" t="s">
        <v>1030</v>
      </c>
      <c r="D53" s="70" t="s">
        <v>1031</v>
      </c>
      <c r="E53" s="70" t="s">
        <v>1032</v>
      </c>
      <c r="F53" s="63"/>
      <c r="G53" s="63"/>
    </row>
    <row r="54" ht="18" spans="1:8">
      <c r="A54" s="67"/>
      <c r="B54" s="113" t="s">
        <v>1033</v>
      </c>
      <c r="C54" s="70" t="s">
        <v>1034</v>
      </c>
      <c r="D54" s="70" t="s">
        <v>1035</v>
      </c>
      <c r="E54" s="70" t="s">
        <v>1036</v>
      </c>
      <c r="F54" s="63"/>
      <c r="G54" s="63"/>
    </row>
    <row r="55" ht="20.4" spans="1:8">
      <c r="A55" s="67" t="s">
        <v>1037</v>
      </c>
      <c r="B55" s="65" t="s">
        <v>142</v>
      </c>
      <c r="C55" s="69"/>
      <c r="D55" s="64"/>
      <c r="E55" s="66"/>
    </row>
    <row r="56" ht="34" spans="1:8">
      <c r="A56" s="67"/>
      <c r="B56" s="67" t="s">
        <v>1038</v>
      </c>
      <c r="C56" s="114" t="s">
        <v>1039</v>
      </c>
      <c r="D56" s="66" t="s">
        <v>1040</v>
      </c>
      <c r="E56" s="64"/>
    </row>
    <row r="57" ht="34" spans="1:8">
      <c r="A57" s="67"/>
      <c r="B57" s="67" t="s">
        <v>1041</v>
      </c>
      <c r="C57" s="71" t="s">
        <v>1042</v>
      </c>
      <c r="D57" s="66" t="s">
        <v>1043</v>
      </c>
      <c r="E57" s="64"/>
    </row>
    <row r="58" ht="20.4" spans="1:8">
      <c r="A58" s="67"/>
      <c r="B58" s="65" t="s">
        <v>807</v>
      </c>
      <c r="C58" s="65" t="s">
        <v>150</v>
      </c>
      <c r="D58" s="65" t="s">
        <v>151</v>
      </c>
      <c r="E58" s="65" t="s">
        <v>152</v>
      </c>
    </row>
    <row r="59" ht="18" spans="1:8">
      <c r="A59" s="67"/>
      <c r="B59" s="112" t="s">
        <v>1044</v>
      </c>
      <c r="C59" s="63" t="s">
        <v>1045</v>
      </c>
      <c r="D59" s="63" t="s">
        <v>1046</v>
      </c>
      <c r="E59" s="63" t="s">
        <v>1047</v>
      </c>
      <c r="F59" s="63"/>
      <c r="G59" s="63"/>
    </row>
    <row r="60" ht="18" spans="1:8">
      <c r="A60" s="67"/>
      <c r="B60" s="112" t="s">
        <v>1048</v>
      </c>
      <c r="C60" s="63" t="s">
        <v>1049</v>
      </c>
      <c r="D60" s="63" t="s">
        <v>1050</v>
      </c>
      <c r="E60" s="63" t="s">
        <v>1051</v>
      </c>
      <c r="F60" s="63"/>
      <c r="G60" s="63"/>
    </row>
    <row r="61" ht="18" spans="1:8">
      <c r="A61" s="67"/>
      <c r="B61" s="112" t="s">
        <v>1052</v>
      </c>
      <c r="C61" s="63" t="s">
        <v>1053</v>
      </c>
      <c r="D61" s="63" t="s">
        <v>1054</v>
      </c>
      <c r="E61" s="63" t="s">
        <v>1055</v>
      </c>
      <c r="F61" s="63"/>
      <c r="G61" s="63"/>
    </row>
    <row r="62" ht="18" spans="1:8">
      <c r="A62" s="67"/>
      <c r="B62" s="113" t="s">
        <v>1056</v>
      </c>
      <c r="C62" s="70" t="s">
        <v>1057</v>
      </c>
      <c r="D62" s="70" t="s">
        <v>1058</v>
      </c>
      <c r="E62" s="70" t="s">
        <v>1059</v>
      </c>
      <c r="F62" s="63"/>
      <c r="G62" s="63"/>
    </row>
    <row r="63" ht="18" spans="1:8">
      <c r="A63" s="67"/>
      <c r="B63" s="113" t="s">
        <v>1060</v>
      </c>
      <c r="C63" s="70" t="s">
        <v>1061</v>
      </c>
      <c r="D63" s="70" t="s">
        <v>1062</v>
      </c>
      <c r="E63" s="70" t="s">
        <v>1063</v>
      </c>
      <c r="F63" s="63"/>
      <c r="G63" s="63"/>
    </row>
    <row r="64" ht="20.4" spans="1:8">
      <c r="A64" s="67" t="s">
        <v>1064</v>
      </c>
      <c r="B64" s="65" t="s">
        <v>142</v>
      </c>
      <c r="C64" s="69"/>
      <c r="D64" s="64"/>
    </row>
    <row r="65" ht="34" spans="1:5">
      <c r="A65" s="67"/>
      <c r="B65" s="67">
        <v>125092753401</v>
      </c>
      <c r="C65" s="114" t="s">
        <v>1065</v>
      </c>
      <c r="D65" s="66" t="s">
        <v>1066</v>
      </c>
      <c r="E65" s="66"/>
    </row>
    <row r="66" ht="34" spans="1:5">
      <c r="A66" s="67"/>
      <c r="B66" s="67">
        <v>125090775007</v>
      </c>
      <c r="C66" s="71" t="s">
        <v>1067</v>
      </c>
      <c r="D66" s="66" t="s">
        <v>1068</v>
      </c>
      <c r="E66" s="66"/>
    </row>
    <row r="67" ht="20.4" spans="1:5">
      <c r="A67" s="67"/>
      <c r="B67" s="65" t="s">
        <v>1069</v>
      </c>
      <c r="C67" s="65" t="s">
        <v>150</v>
      </c>
      <c r="D67" s="65" t="s">
        <v>151</v>
      </c>
      <c r="E67" s="65" t="s">
        <v>152</v>
      </c>
    </row>
    <row r="68" ht="18" spans="1:5">
      <c r="A68" s="67"/>
      <c r="B68" s="63" t="s">
        <v>1070</v>
      </c>
      <c r="C68" s="115" t="s">
        <v>1071</v>
      </c>
      <c r="D68" s="63" t="s">
        <v>1072</v>
      </c>
      <c r="E68" s="115" t="s">
        <v>1073</v>
      </c>
    </row>
    <row r="69" ht="18" spans="1:5">
      <c r="A69" s="67"/>
      <c r="B69" s="63" t="s">
        <v>1074</v>
      </c>
      <c r="C69" s="115" t="s">
        <v>1075</v>
      </c>
      <c r="D69" s="63" t="s">
        <v>1076</v>
      </c>
      <c r="E69" s="115" t="s">
        <v>1077</v>
      </c>
    </row>
    <row r="70" ht="18" spans="1:5">
      <c r="A70" s="67"/>
      <c r="B70" s="63" t="s">
        <v>1078</v>
      </c>
      <c r="C70" s="115" t="s">
        <v>1079</v>
      </c>
      <c r="D70" s="63" t="s">
        <v>1080</v>
      </c>
      <c r="E70" s="115" t="s">
        <v>1081</v>
      </c>
    </row>
    <row r="71" ht="18" spans="1:5">
      <c r="A71" s="67"/>
      <c r="B71" s="116" t="s">
        <v>1082</v>
      </c>
      <c r="C71" s="117" t="s">
        <v>1083</v>
      </c>
      <c r="D71" s="116" t="s">
        <v>1084</v>
      </c>
      <c r="E71" s="115" t="s">
        <v>1085</v>
      </c>
    </row>
    <row r="72" ht="18" spans="1:5">
      <c r="A72" s="67"/>
      <c r="B72" s="63" t="s">
        <v>1086</v>
      </c>
      <c r="C72" s="115" t="s">
        <v>1087</v>
      </c>
      <c r="D72" s="63" t="s">
        <v>1088</v>
      </c>
      <c r="E72" s="115" t="s">
        <v>1089</v>
      </c>
    </row>
  </sheetData>
  <mergeCells count="16">
    <mergeCell ref="B1:H1"/>
    <mergeCell ref="A2:I2"/>
    <mergeCell ref="A10:B10"/>
    <mergeCell ref="A11:B11"/>
    <mergeCell ref="D65:E65"/>
    <mergeCell ref="D66:E66"/>
    <mergeCell ref="A5:A9"/>
    <mergeCell ref="A12:A17"/>
    <mergeCell ref="A18:A23"/>
    <mergeCell ref="A24:A29"/>
    <mergeCell ref="A31:A36"/>
    <mergeCell ref="A37:A45"/>
    <mergeCell ref="A46:A54"/>
    <mergeCell ref="A55:A63"/>
    <mergeCell ref="A64:A72"/>
    <mergeCell ref="B3:B5"/>
  </mergeCells>
  <hyperlinks>
    <hyperlink ref="D59" r:id="rId1" display="https://p2.nicegoods.cn/financial/experience-plan-sku?launchId=124916086534&amp;wcl=210500_14214268_financing"/>
    <hyperlink ref="E52" r:id="rId2" display="https://s.xingqudao.net/SOYeU4mr"/>
    <hyperlink ref="E36" r:id="rId3" display="https://s.xingqudao.net/SOYeSv0i"/>
    <hyperlink ref="D62" r:id="rId4" display="https://p2.nicegoods.cn/financial/experience-plan-sku?launchId=124919641013&amp;wcl=210500_14214266_financing"/>
    <hyperlink ref="E60" r:id="rId5" display="https://s.xingqudao.net/SOYeU4mw"/>
    <hyperlink ref="E62" r:id="rId6" display="https://s.xingqudao.net/SOYeU4mt"/>
    <hyperlink ref="E54" r:id="rId7" display="https://s.xingqudao.net/SOYeU4mo"/>
    <hyperlink ref="D66" r:id="rId8" display="https://t1.nicegoods.cn/financial/experience-plan-sku?launchId=125090775007"/>
    <hyperlink ref="D38" r:id="rId9" display="https://p2.nicegoods.cn/financial/experience-plan-sku?launchId=124673614460"/>
    <hyperlink ref="D43" r:id="rId10" display="https://p2.nicegoods.cn/financial/experience-plan-sku?launchId=124671707482&amp;wcl=210500_14210227_financing"/>
    <hyperlink ref="E45" r:id="rId11" display="https://s.xingqudao.net/SOYeTVXo"/>
    <hyperlink ref="H5" r:id="rId12" display="【伪直播复用】&#10;一杰瑜伽3.24&#10;预约链接：https://s.xingqudao.net/SOYeUV9r"/>
    <hyperlink ref="I24" r:id="rId13" display="【伪直播复用2.7】电子琴&#10;4.12项目组自播&#10;预约链接：https://s.xingqudao.net/SOYeTaub"/>
    <hyperlink ref="D36" r:id="rId14" display="https://t1.nicegoods.cn/financial/experience-plan-sku?launchId=124542375690&amp;wcl=210500_14207922_financing"/>
    <hyperlink ref="D68" r:id="rId15" display="https://t1.nicegoods.cn/financial/experience-plan-sku?launchId=125090775007&amp;wcl=210500_14217364_financing"/>
    <hyperlink ref="D39" r:id="rId16" display="https://p2.nicegoods.cn/financial/experience-plan-sku?launchId=124671707482"/>
    <hyperlink ref="D45" r:id="rId17" display="https://p2.nicegoods.cn/financial/experience-plan-sku?launchId=124671707482&amp;wcl=210500_14210224_financing"/>
    <hyperlink ref="D53" r:id="rId18" display="https://p2.nicegoods.cn/financial/experience-plan-sku?launchId=124917249180&amp;wcl=210500_14214261_financing"/>
    <hyperlink ref="G24" r:id="rId19" display="【伪直播复用】&#10;3.30东方养正瑜伽复用&#10;预约链接：https://s.xingqudao.net/SOYeUPwC"/>
    <hyperlink ref="E43" r:id="rId20" display="https://s.xingqudao.net/SOYeTVXr"/>
    <hyperlink ref="E50" r:id="rId21" display="https://s.xingqudao.net/SOYeU4mp"/>
    <hyperlink ref="E61" r:id="rId22" display="https://s.xingqudao.net/SOYeU4mx"/>
    <hyperlink ref="D48" r:id="rId23" display="https://p2.nicegoods.cn/financial/experience-plan-sku?launchId=124916068995"/>
    <hyperlink ref="E44" r:id="rId24" display="https://s.xingqudao.net/SOYeTVXn"/>
    <hyperlink ref="E69" r:id="rId25" display="https://s.xingqudao.net/SOYeUqyL"/>
    <hyperlink ref="D61" r:id="rId26" display="https://p2.nicegoods.cn/financial/experience-plan-sku?launchId=124916086534&amp;wcl=210500_14214270_financing"/>
    <hyperlink ref="E51" r:id="rId27" display="https://s.xingqudao.net/SOYeU4mq"/>
    <hyperlink ref="D52" r:id="rId28" display="https://p2.nicegoods.cn/financial/experience-plan-sku?launchId=124916068995&amp;wcl=210500_14214265_financing"/>
    <hyperlink ref="D50" r:id="rId29" display="https://p2.nicegoods.cn/financial/experience-plan-sku?launchId=124916068995&amp;wcl=210500_14214263_financing"/>
    <hyperlink ref="E63" r:id="rId30" display="https://s.xingqudao.net/SOYeU4mu"/>
    <hyperlink ref="E34" r:id="rId31" display="https://s.xingqudao.net/SOYeSv0f"/>
    <hyperlink ref="E71" r:id="rId32" display="https://s.xingqudao.net/SOYeUqyN"/>
    <hyperlink ref="E72" r:id="rId33" display="https://s.xingqudao.net/SOYeUqyO"/>
    <hyperlink ref="E59" r:id="rId34" display="https://s.xingqudao.net/SOYeU4mv"/>
    <hyperlink ref="D42" r:id="rId35" display="https://p2.nicegoods.cn/financial/experience-plan-sku?launchId=124671707482&amp;wcl=210500_14210226_financing"/>
    <hyperlink ref="D60" r:id="rId36" display="https://p2.nicegoods.cn/financial/experience-plan-sku?launchId=124916086534&amp;wcl=210500_14214269_financing"/>
    <hyperlink ref="D69" r:id="rId37" display="https://t1.nicegoods.cn/financial/experience-plan-sku?launchId=125090775007&amp;wcl=210500_14217365_financing"/>
    <hyperlink ref="H24" r:id="rId38" display="【伪直播复用】&#10;收纳&#10;预约链接：https://s.xingqudao.net/SOYeUUoc"/>
    <hyperlink ref="D72" r:id="rId39" display="https://t1.nicegoods.cn/financial/experience-plan-sku?launchId=125090775007&amp;wcl=210500_14217368_financing"/>
    <hyperlink ref="D56" r:id="rId40" display="https://p2.nicegoods.cn/financial/experience-plan-sku?launchId=124919641013"/>
    <hyperlink ref="E70" r:id="rId41" display="https://s.xingqudao.net/SOYeUqyM"/>
    <hyperlink ref="D54" r:id="rId42" display="https://p2.nicegoods.cn/financial/experience-plan-sku?launchId=124916068995&amp;wcl=210500_14214262_financing"/>
    <hyperlink ref="D57" r:id="rId43" display="https://p2.nicegoods.cn/financial/experience-plan-sku?launchId=124916086534"/>
    <hyperlink ref="D71" r:id="rId44" display="https://t1.nicegoods.cn/financial/experience-plan-sku?launchId=125092753401&amp;wcl=210500_14217367_financing"/>
    <hyperlink ref="D63" r:id="rId45" display="https://p2.nicegoods.cn/financial/experience-plan-sku?launchId=124916086534&amp;wcl=210500_14214267_financing"/>
    <hyperlink ref="D41" r:id="rId46" display="https://p2.nicegoods.cn/financial/experience-plan-sku?launchId=124671707482&amp;wcl=210500_14210225_financing"/>
    <hyperlink ref="E53" r:id="rId47" display="https://s.xingqudao.net/SOYeU4mn"/>
    <hyperlink ref="D47" r:id="rId48" display="https://p2.nicegoods.cn/financial/experience-plan-sku?launchId=124917249180"/>
    <hyperlink ref="D34" r:id="rId49" display="https://t1.nicegoods.cn/financial/experience-plan-sku?launchId=124545101576&amp;wcl=210500_14207920_financing"/>
    <hyperlink ref="H18" r:id="rId50" display="【伪直播复用】&#10;4.9姚国诚单人&#10;https://s.xingqudao.net/SOYeUUw6"/>
    <hyperlink ref="E42" r:id="rId51" display="https://s.xingqudao.net/SOYeTVXq"/>
    <hyperlink ref="D35" r:id="rId52" display="https://t1.nicegoods.cn/financial/experience-plan-sku?launchId=124545101576&amp;wcl=210500_14207921_financing"/>
    <hyperlink ref="D44" r:id="rId53" display="https://p2.nicegoods.cn/financial/experience-plan-sku?launchId=124673614460&amp;wcl=210500_14210223_financing"/>
    <hyperlink ref="E68" r:id="rId54" display="https://s.xingqudao.net/SOYeUqyK"/>
    <hyperlink ref="E41" r:id="rId55" display="https://s.xingqudao.net/SOYeTVXp"/>
    <hyperlink ref="D65" r:id="rId56" display="https://t1.nicegoods.cn/financial/experience-plan-sku?launchId=125092753401"/>
    <hyperlink ref="D70" r:id="rId57" display="https://t1.nicegoods.cn/financial/experience-plan-sku?launchId=125090775007&amp;wcl=210500_14217366_financing"/>
    <hyperlink ref="E35" r:id="rId58" display="https://s.xingqudao.net/SOYeSv0h"/>
    <hyperlink ref="D51" r:id="rId59" display="https://p2.nicegoods.cn/financial/experience-plan-sku?launchId=124916068995&amp;wcl=210500_14214264_financing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85"/>
  <sheetViews>
    <sheetView workbookViewId="0">
      <selection activeCell="A1" sqref="A1"/>
    </sheetView>
  </sheetViews>
  <sheetFormatPr defaultColWidth="14" defaultRowHeight="15.2"/>
  <cols>
    <col min="2" max="6" width="50" customWidth="1"/>
    <col min="7" max="7" width="73" customWidth="1"/>
    <col min="8" max="8" width="68" customWidth="1"/>
    <col min="9" max="9" width="58" customWidth="1"/>
  </cols>
  <sheetData>
    <row r="1" ht="52" spans="1:9">
      <c r="A1" s="1" t="s">
        <v>420</v>
      </c>
      <c r="B1" s="2" t="s">
        <v>421</v>
      </c>
      <c r="C1" s="2"/>
      <c r="D1" s="2"/>
      <c r="E1" s="2"/>
      <c r="F1" s="2"/>
      <c r="G1" s="2"/>
      <c r="H1" s="2"/>
      <c r="I1" s="3"/>
    </row>
    <row r="2" ht="26" spans="1:9">
      <c r="A2" s="4" t="s">
        <v>1090</v>
      </c>
      <c r="B2" s="4"/>
      <c r="C2" s="4"/>
      <c r="D2" s="4"/>
      <c r="E2" s="4"/>
      <c r="F2" s="4"/>
      <c r="G2" s="4"/>
      <c r="H2" s="4"/>
      <c r="I2" s="3"/>
    </row>
    <row r="3" ht="26" spans="1:9">
      <c r="A3" s="5" t="s">
        <v>56</v>
      </c>
      <c r="B3" s="6" t="s">
        <v>57</v>
      </c>
      <c r="C3" s="7" t="s">
        <v>58</v>
      </c>
      <c r="D3" s="6" t="s">
        <v>59</v>
      </c>
      <c r="E3" s="7" t="s">
        <v>60</v>
      </c>
      <c r="F3" s="7" t="s">
        <v>61</v>
      </c>
      <c r="G3" s="7" t="s">
        <v>62</v>
      </c>
      <c r="H3" s="7" t="s">
        <v>63</v>
      </c>
      <c r="I3" s="7" t="s">
        <v>64</v>
      </c>
    </row>
    <row r="4" ht="26" spans="1:9">
      <c r="A4" s="8" t="s">
        <v>65</v>
      </c>
      <c r="B4" s="6"/>
      <c r="C4" s="9" t="s">
        <v>1091</v>
      </c>
      <c r="D4" s="10">
        <v>4.7</v>
      </c>
      <c r="E4" s="10">
        <v>4.8</v>
      </c>
      <c r="F4" s="10">
        <v>4.9</v>
      </c>
      <c r="G4" s="9" t="s">
        <v>1092</v>
      </c>
      <c r="H4" s="10">
        <v>4.11</v>
      </c>
      <c r="I4" s="10">
        <v>4.12</v>
      </c>
    </row>
    <row r="5" ht="104" spans="1:9">
      <c r="A5" s="11" t="s">
        <v>66</v>
      </c>
      <c r="B5" s="6"/>
      <c r="C5" s="12"/>
      <c r="D5" s="13" t="s">
        <v>68</v>
      </c>
      <c r="E5" s="13" t="s">
        <v>67</v>
      </c>
      <c r="F5" s="14" t="s">
        <v>1093</v>
      </c>
      <c r="G5" s="14" t="s">
        <v>740</v>
      </c>
      <c r="H5" s="15" t="s">
        <v>1094</v>
      </c>
      <c r="I5" s="16"/>
    </row>
    <row r="6" ht="26" spans="1:9">
      <c r="A6" s="11"/>
      <c r="B6" s="17" t="s">
        <v>72</v>
      </c>
      <c r="C6" s="12"/>
      <c r="D6" s="18" t="s">
        <v>74</v>
      </c>
      <c r="E6" s="18" t="s">
        <v>73</v>
      </c>
      <c r="F6" s="18" t="s">
        <v>74</v>
      </c>
      <c r="G6" s="18" t="s">
        <v>73</v>
      </c>
      <c r="H6" s="19" t="s">
        <v>74</v>
      </c>
      <c r="I6" s="16"/>
    </row>
    <row r="7" ht="26" spans="1:9">
      <c r="A7" s="11"/>
      <c r="B7" s="20" t="s">
        <v>75</v>
      </c>
      <c r="C7" s="12"/>
      <c r="D7" s="21">
        <f>129609+267050</f>
        <v>396659</v>
      </c>
      <c r="E7" s="21">
        <f>126292+229484+280212</f>
        <v>635988</v>
      </c>
      <c r="F7" s="21">
        <f>119312+90398+17136+90320</f>
        <v>317166</v>
      </c>
      <c r="G7" s="22">
        <f>157280+97891+123857+170274</f>
        <v>549302</v>
      </c>
      <c r="H7" s="23"/>
      <c r="I7" s="16"/>
    </row>
    <row r="8" ht="182" spans="1:9">
      <c r="A8" s="11"/>
      <c r="B8" s="24" t="s">
        <v>76</v>
      </c>
      <c r="C8" s="12"/>
      <c r="D8" s="16"/>
      <c r="E8" s="25" t="s">
        <v>1095</v>
      </c>
      <c r="F8" s="26"/>
      <c r="G8" s="25" t="s">
        <v>1096</v>
      </c>
      <c r="H8" s="27"/>
      <c r="I8" s="16"/>
    </row>
    <row r="9" ht="286" spans="1:9">
      <c r="A9" s="11"/>
      <c r="B9" s="28" t="s">
        <v>82</v>
      </c>
      <c r="C9" s="12"/>
      <c r="D9" s="25" t="s">
        <v>1097</v>
      </c>
      <c r="E9" s="26"/>
      <c r="F9" s="25" t="s">
        <v>1098</v>
      </c>
      <c r="G9" s="25" t="s">
        <v>1099</v>
      </c>
      <c r="H9" s="29" t="s">
        <v>1100</v>
      </c>
      <c r="I9" s="16"/>
    </row>
    <row r="10" ht="52" spans="1:9">
      <c r="A10" s="11" t="s">
        <v>84</v>
      </c>
      <c r="B10" s="30" t="s">
        <v>85</v>
      </c>
      <c r="C10" s="31"/>
      <c r="D10" s="32" t="s">
        <v>1101</v>
      </c>
      <c r="E10" s="31"/>
      <c r="F10" s="32" t="s">
        <v>1102</v>
      </c>
      <c r="G10" s="33" t="s">
        <v>1103</v>
      </c>
      <c r="H10" s="34"/>
      <c r="I10" s="16"/>
    </row>
    <row r="11" ht="26" spans="1:9">
      <c r="A11" s="11"/>
      <c r="B11" s="17" t="s">
        <v>72</v>
      </c>
      <c r="C11" s="35"/>
      <c r="D11" s="35" t="s">
        <v>74</v>
      </c>
      <c r="E11" s="18"/>
      <c r="F11" s="35" t="s">
        <v>73</v>
      </c>
      <c r="G11" s="35" t="s">
        <v>88</v>
      </c>
      <c r="H11" s="34"/>
      <c r="I11" s="16"/>
    </row>
    <row r="12" ht="26" spans="1:9">
      <c r="A12" s="11"/>
      <c r="B12" s="36" t="s">
        <v>75</v>
      </c>
      <c r="C12" s="31"/>
      <c r="D12" s="21">
        <f>195845+226100+17136+38555</f>
        <v>477636</v>
      </c>
      <c r="E12" s="21"/>
      <c r="F12" s="21">
        <f>64992+70471+21344+72702+49727+178992</f>
        <v>458228</v>
      </c>
      <c r="G12" s="21">
        <v>120840</v>
      </c>
      <c r="H12" s="34"/>
      <c r="I12" s="16"/>
    </row>
    <row r="13" ht="26" spans="1:9">
      <c r="A13" s="11"/>
      <c r="B13" s="24" t="s">
        <v>76</v>
      </c>
      <c r="C13" s="37"/>
      <c r="D13" s="16"/>
      <c r="E13" s="21"/>
      <c r="F13" s="38"/>
      <c r="G13" s="26"/>
      <c r="H13" s="34"/>
      <c r="I13" s="16"/>
    </row>
    <row r="14" ht="286" spans="1:9">
      <c r="A14" s="11"/>
      <c r="B14" s="28" t="s">
        <v>82</v>
      </c>
      <c r="C14" s="38"/>
      <c r="D14" s="25" t="s">
        <v>1104</v>
      </c>
      <c r="E14" s="26"/>
      <c r="F14" s="25" t="s">
        <v>1105</v>
      </c>
      <c r="G14" s="16"/>
      <c r="H14" s="34"/>
      <c r="I14" s="16"/>
    </row>
    <row r="15" ht="78" spans="1:9">
      <c r="A15" s="11"/>
      <c r="B15" s="39" t="s">
        <v>89</v>
      </c>
      <c r="C15" s="40"/>
      <c r="D15" s="41"/>
      <c r="E15" s="40"/>
      <c r="F15" s="42"/>
      <c r="G15" s="25" t="s">
        <v>1106</v>
      </c>
      <c r="H15" s="43"/>
      <c r="I15" s="16"/>
    </row>
    <row r="16" ht="83" spans="1:9">
      <c r="A16" s="11" t="s">
        <v>84</v>
      </c>
      <c r="B16" s="6" t="s">
        <v>85</v>
      </c>
      <c r="C16" s="16"/>
      <c r="D16" s="44" t="s">
        <v>1107</v>
      </c>
      <c r="E16" s="44" t="s">
        <v>1108</v>
      </c>
      <c r="F16" s="31"/>
      <c r="G16" s="45" t="s">
        <v>1109</v>
      </c>
      <c r="H16" s="46" t="s">
        <v>1110</v>
      </c>
      <c r="I16" s="47" t="s">
        <v>1111</v>
      </c>
    </row>
    <row r="17" ht="26" spans="1:9">
      <c r="A17" s="11"/>
      <c r="B17" s="48" t="s">
        <v>72</v>
      </c>
      <c r="C17" s="16"/>
      <c r="D17" s="18" t="s">
        <v>88</v>
      </c>
      <c r="E17" s="18" t="s">
        <v>73</v>
      </c>
      <c r="F17" s="16"/>
      <c r="G17" s="49" t="s">
        <v>73</v>
      </c>
      <c r="H17" s="50" t="s">
        <v>74</v>
      </c>
      <c r="I17" s="16"/>
    </row>
    <row r="18" ht="26" spans="1:9">
      <c r="A18" s="11"/>
      <c r="B18" s="51" t="s">
        <v>75</v>
      </c>
      <c r="C18" s="16"/>
      <c r="D18" s="21">
        <f>132988+234259+106886</f>
        <v>474133</v>
      </c>
      <c r="E18" s="21">
        <f>251581+153210</f>
        <v>404791</v>
      </c>
      <c r="F18" s="16"/>
      <c r="G18" s="21">
        <v>227808</v>
      </c>
      <c r="H18" s="22">
        <f>221410+251581</f>
        <v>472991</v>
      </c>
      <c r="I18" s="16"/>
    </row>
    <row r="19" ht="234" spans="1:9">
      <c r="A19" s="11"/>
      <c r="B19" s="52" t="s">
        <v>76</v>
      </c>
      <c r="C19" s="16"/>
      <c r="D19" s="25" t="s">
        <v>1112</v>
      </c>
      <c r="E19" s="25" t="s">
        <v>1113</v>
      </c>
      <c r="F19" s="16"/>
      <c r="G19" s="53" t="s">
        <v>1114</v>
      </c>
      <c r="H19" s="54" t="s">
        <v>1115</v>
      </c>
      <c r="I19" s="16"/>
    </row>
    <row r="20" ht="78" spans="1:9">
      <c r="A20" s="11"/>
      <c r="B20" s="55" t="s">
        <v>82</v>
      </c>
      <c r="C20" s="16"/>
      <c r="D20" s="16"/>
      <c r="E20" s="16"/>
      <c r="F20" s="16"/>
      <c r="G20" s="16"/>
      <c r="H20" s="54" t="s">
        <v>1116</v>
      </c>
      <c r="I20" s="16"/>
    </row>
    <row r="21" ht="26" spans="1:9">
      <c r="A21" s="11"/>
      <c r="B21" s="56" t="s">
        <v>89</v>
      </c>
      <c r="C21" s="16"/>
      <c r="D21" s="16"/>
      <c r="E21" s="41"/>
      <c r="F21" s="41"/>
      <c r="G21" s="16"/>
      <c r="H21" s="57"/>
      <c r="I21" s="35" t="s">
        <v>1117</v>
      </c>
    </row>
    <row r="22" ht="83" spans="1:9">
      <c r="A22" s="11" t="s">
        <v>767</v>
      </c>
      <c r="B22" s="6" t="s">
        <v>85</v>
      </c>
      <c r="C22" s="16"/>
      <c r="D22" s="57"/>
      <c r="E22" s="57"/>
      <c r="F22" s="16"/>
      <c r="G22" s="45" t="s">
        <v>1118</v>
      </c>
      <c r="H22" s="46" t="s">
        <v>1119</v>
      </c>
      <c r="I22" s="16"/>
    </row>
    <row r="23" ht="26" spans="1:9">
      <c r="A23" s="11"/>
      <c r="B23" s="48" t="s">
        <v>72</v>
      </c>
      <c r="C23" s="16"/>
      <c r="D23" s="57"/>
      <c r="E23" s="57"/>
      <c r="F23" s="16"/>
      <c r="G23" s="49" t="s">
        <v>88</v>
      </c>
      <c r="H23" s="50" t="s">
        <v>88</v>
      </c>
      <c r="I23" s="16"/>
    </row>
    <row r="24" ht="26" spans="1:9">
      <c r="A24" s="11"/>
      <c r="B24" s="51" t="s">
        <v>75</v>
      </c>
      <c r="C24" s="16"/>
      <c r="D24" s="57"/>
      <c r="E24" s="57"/>
      <c r="F24" s="16"/>
      <c r="G24" s="58">
        <f>101139+240118</f>
        <v>341257</v>
      </c>
      <c r="H24" s="22">
        <f>132998+234259+32595+28137</f>
        <v>427989</v>
      </c>
      <c r="I24" s="16"/>
    </row>
    <row r="25" ht="26" spans="1:9">
      <c r="A25" s="11"/>
      <c r="B25" s="52" t="s">
        <v>76</v>
      </c>
      <c r="C25" s="16"/>
      <c r="D25" s="57"/>
      <c r="E25" s="57"/>
      <c r="F25" s="16"/>
      <c r="G25" s="53"/>
      <c r="H25" s="57"/>
      <c r="I25" s="16"/>
    </row>
    <row r="26" ht="26" spans="1:9">
      <c r="A26" s="11"/>
      <c r="B26" s="55" t="s">
        <v>82</v>
      </c>
      <c r="C26" s="16"/>
      <c r="D26" s="16"/>
      <c r="E26" s="59"/>
      <c r="F26" s="16"/>
      <c r="G26" s="53"/>
      <c r="H26" s="57"/>
      <c r="I26" s="16"/>
    </row>
    <row r="27" ht="234" spans="1:9">
      <c r="A27" s="11"/>
      <c r="B27" s="56" t="s">
        <v>89</v>
      </c>
      <c r="C27" s="16"/>
      <c r="D27" s="16"/>
      <c r="E27" s="16"/>
      <c r="F27" s="60"/>
      <c r="G27" s="25" t="s">
        <v>1120</v>
      </c>
      <c r="H27" s="54" t="s">
        <v>1121</v>
      </c>
      <c r="I27" s="16"/>
    </row>
    <row r="29" ht="34" spans="1:9">
      <c r="B29" s="61">
        <v>123953560077</v>
      </c>
      <c r="C29" s="61" t="s">
        <v>1122</v>
      </c>
    </row>
    <row r="30" ht="34.75" spans="1:9">
      <c r="B30" s="62">
        <v>123953560427</v>
      </c>
      <c r="C30" s="62" t="s">
        <v>1123</v>
      </c>
    </row>
    <row r="32" ht="17.6" spans="1:9">
      <c r="A32" s="63" t="s">
        <v>777</v>
      </c>
      <c r="B32" s="63" t="s">
        <v>1124</v>
      </c>
      <c r="C32" s="63" t="s">
        <v>778</v>
      </c>
      <c r="D32" s="63" t="s">
        <v>150</v>
      </c>
      <c r="E32" s="63" t="s">
        <v>779</v>
      </c>
    </row>
    <row r="33" ht="18" spans="1:7">
      <c r="A33" s="63" t="s">
        <v>1125</v>
      </c>
      <c r="B33" s="63" t="s">
        <v>295</v>
      </c>
      <c r="C33" s="63" t="s">
        <v>1126</v>
      </c>
      <c r="D33" s="63" t="s">
        <v>1127</v>
      </c>
      <c r="E33" s="63" t="s">
        <v>1128</v>
      </c>
    </row>
    <row r="34" ht="18" spans="1:7">
      <c r="A34" s="63" t="s">
        <v>1129</v>
      </c>
      <c r="B34" s="63" t="s">
        <v>295</v>
      </c>
      <c r="C34" s="63" t="s">
        <v>1130</v>
      </c>
      <c r="D34" s="63" t="s">
        <v>1131</v>
      </c>
      <c r="E34" s="63" t="s">
        <v>1132</v>
      </c>
    </row>
    <row r="35" ht="18" spans="1:7">
      <c r="A35" s="63" t="s">
        <v>1133</v>
      </c>
      <c r="B35" s="63" t="s">
        <v>295</v>
      </c>
      <c r="C35" s="63" t="s">
        <v>1134</v>
      </c>
      <c r="D35" s="63" t="s">
        <v>1135</v>
      </c>
      <c r="E35" s="63" t="s">
        <v>1136</v>
      </c>
    </row>
    <row r="36" ht="18" spans="1:7">
      <c r="A36" s="63" t="s">
        <v>1137</v>
      </c>
      <c r="B36" s="63" t="s">
        <v>295</v>
      </c>
      <c r="C36" s="63" t="s">
        <v>1138</v>
      </c>
      <c r="D36" s="63" t="s">
        <v>1139</v>
      </c>
      <c r="E36" s="63" t="s">
        <v>1140</v>
      </c>
    </row>
    <row r="40" ht="20.4" spans="1:7">
      <c r="A40" s="64" t="s">
        <v>453</v>
      </c>
      <c r="B40" s="65" t="s">
        <v>142</v>
      </c>
      <c r="C40" s="64"/>
      <c r="D40" s="64"/>
      <c r="E40" s="66"/>
      <c r="F40" s="64"/>
      <c r="G40" s="64"/>
    </row>
    <row r="41" ht="20.4" spans="1:7">
      <c r="A41" s="64"/>
      <c r="B41" s="67" t="s">
        <v>1141</v>
      </c>
      <c r="C41" s="67" t="s">
        <v>464</v>
      </c>
      <c r="D41" s="66" t="s">
        <v>1142</v>
      </c>
      <c r="E41" s="64"/>
      <c r="F41" s="64"/>
      <c r="G41" s="64"/>
    </row>
    <row r="42" ht="20.4" spans="1:7">
      <c r="A42" s="64"/>
      <c r="B42" s="67" t="s">
        <v>1143</v>
      </c>
      <c r="C42" s="67" t="s">
        <v>467</v>
      </c>
      <c r="D42" s="66" t="s">
        <v>1144</v>
      </c>
      <c r="E42" s="64"/>
      <c r="F42" s="64"/>
      <c r="G42" s="64"/>
    </row>
    <row r="43" ht="20.4" spans="1:7">
      <c r="A43" s="64"/>
      <c r="B43" s="65" t="s">
        <v>970</v>
      </c>
      <c r="C43" s="65" t="s">
        <v>150</v>
      </c>
      <c r="D43" s="65" t="s">
        <v>151</v>
      </c>
      <c r="E43" s="65" t="s">
        <v>152</v>
      </c>
      <c r="F43" s="64"/>
      <c r="G43" s="64"/>
    </row>
    <row r="44" ht="18" spans="1:7">
      <c r="A44" s="64"/>
      <c r="B44" s="63" t="s">
        <v>1145</v>
      </c>
      <c r="C44" s="63" t="s">
        <v>1146</v>
      </c>
      <c r="D44" s="63" t="s">
        <v>1147</v>
      </c>
      <c r="E44" s="63" t="s">
        <v>1148</v>
      </c>
      <c r="F44" s="64"/>
      <c r="G44" s="64"/>
    </row>
    <row r="45" ht="18" spans="1:7">
      <c r="A45" s="64"/>
      <c r="B45" s="63" t="s">
        <v>1149</v>
      </c>
      <c r="C45" s="63" t="s">
        <v>1150</v>
      </c>
      <c r="D45" s="63" t="s">
        <v>1151</v>
      </c>
      <c r="E45" s="63" t="s">
        <v>1152</v>
      </c>
      <c r="F45" s="64"/>
      <c r="G45" s="64"/>
    </row>
    <row r="46" ht="18" spans="1:7">
      <c r="A46" s="64"/>
      <c r="B46" s="63" t="s">
        <v>1153</v>
      </c>
      <c r="C46" s="63" t="s">
        <v>1154</v>
      </c>
      <c r="D46" s="63" t="s">
        <v>1155</v>
      </c>
      <c r="E46" s="63" t="s">
        <v>1156</v>
      </c>
      <c r="F46" s="64"/>
      <c r="G46" s="64"/>
    </row>
    <row r="47" ht="18" spans="1:7">
      <c r="A47" s="64"/>
      <c r="B47" s="68" t="s">
        <v>1157</v>
      </c>
      <c r="C47" s="68" t="s">
        <v>1158</v>
      </c>
      <c r="D47" s="68" t="s">
        <v>1159</v>
      </c>
      <c r="E47" s="68" t="s">
        <v>1160</v>
      </c>
      <c r="F47" s="64"/>
      <c r="G47" s="64"/>
    </row>
    <row r="48" ht="20.4" spans="1:7">
      <c r="A48" s="64" t="s">
        <v>1161</v>
      </c>
      <c r="B48" s="65" t="s">
        <v>142</v>
      </c>
      <c r="C48" s="69"/>
      <c r="D48" s="64"/>
      <c r="E48" s="66"/>
      <c r="F48" s="64"/>
      <c r="G48" s="64"/>
    </row>
    <row r="49" ht="34" spans="1:7">
      <c r="A49" s="64"/>
      <c r="B49" s="67" t="s">
        <v>1162</v>
      </c>
      <c r="C49" s="69" t="s">
        <v>1163</v>
      </c>
      <c r="D49" s="66" t="s">
        <v>1164</v>
      </c>
      <c r="E49" s="64"/>
      <c r="F49" s="64"/>
      <c r="G49" s="64"/>
    </row>
    <row r="50" ht="34" spans="1:7">
      <c r="A50" s="64"/>
      <c r="B50" s="67" t="s">
        <v>1165</v>
      </c>
      <c r="C50" s="69" t="s">
        <v>1166</v>
      </c>
      <c r="D50" s="66" t="s">
        <v>1167</v>
      </c>
      <c r="E50" s="64"/>
      <c r="F50" s="64"/>
      <c r="G50" s="64"/>
    </row>
    <row r="51" ht="20.4" spans="1:7">
      <c r="A51" s="64"/>
      <c r="B51" s="65" t="s">
        <v>807</v>
      </c>
      <c r="C51" s="65" t="s">
        <v>150</v>
      </c>
      <c r="D51" s="65" t="s">
        <v>151</v>
      </c>
      <c r="E51" s="65" t="s">
        <v>152</v>
      </c>
      <c r="F51" s="64"/>
      <c r="G51" s="64"/>
    </row>
    <row r="52" ht="18" spans="1:7">
      <c r="A52" s="64"/>
      <c r="B52" s="63" t="s">
        <v>1168</v>
      </c>
      <c r="C52" s="63" t="s">
        <v>1169</v>
      </c>
      <c r="D52" s="63" t="s">
        <v>1170</v>
      </c>
      <c r="E52" s="63" t="s">
        <v>1171</v>
      </c>
      <c r="F52" s="63"/>
      <c r="G52" s="63"/>
    </row>
    <row r="53" ht="18" spans="1:7">
      <c r="A53" s="64"/>
      <c r="B53" s="63" t="s">
        <v>1172</v>
      </c>
      <c r="C53" s="63" t="s">
        <v>1173</v>
      </c>
      <c r="D53" s="63" t="s">
        <v>1174</v>
      </c>
      <c r="E53" s="63" t="s">
        <v>1175</v>
      </c>
      <c r="F53" s="63"/>
      <c r="G53" s="63"/>
    </row>
    <row r="54" ht="18" spans="1:7">
      <c r="A54" s="64"/>
      <c r="B54" s="63" t="s">
        <v>1176</v>
      </c>
      <c r="C54" s="63" t="s">
        <v>1177</v>
      </c>
      <c r="D54" s="63" t="s">
        <v>1178</v>
      </c>
      <c r="E54" s="63" t="s">
        <v>1179</v>
      </c>
      <c r="F54" s="63"/>
      <c r="G54" s="63"/>
    </row>
    <row r="55" ht="18" spans="1:7">
      <c r="A55" s="64"/>
      <c r="B55" s="70" t="s">
        <v>1180</v>
      </c>
      <c r="C55" s="63" t="s">
        <v>1181</v>
      </c>
      <c r="D55" s="63" t="s">
        <v>1182</v>
      </c>
      <c r="E55" s="63" t="s">
        <v>1183</v>
      </c>
      <c r="F55" s="63"/>
      <c r="G55" s="63"/>
    </row>
    <row r="56" ht="18" spans="1:7">
      <c r="A56" s="64"/>
      <c r="B56" s="70" t="s">
        <v>1184</v>
      </c>
      <c r="C56" s="63" t="s">
        <v>1185</v>
      </c>
      <c r="D56" s="63" t="s">
        <v>1186</v>
      </c>
      <c r="E56" s="63" t="s">
        <v>1187</v>
      </c>
      <c r="F56" s="63"/>
      <c r="G56" s="63"/>
    </row>
    <row r="57" ht="20.4" spans="1:7">
      <c r="A57" s="64" t="s">
        <v>1188</v>
      </c>
      <c r="B57" s="65" t="s">
        <v>142</v>
      </c>
      <c r="C57" s="64"/>
      <c r="D57" s="64"/>
      <c r="E57" s="66"/>
      <c r="F57" s="64"/>
      <c r="G57" s="64"/>
    </row>
    <row r="58" ht="34" spans="1:7">
      <c r="A58" s="64"/>
      <c r="B58" s="67" t="s">
        <v>1189</v>
      </c>
      <c r="C58" s="71" t="s">
        <v>1190</v>
      </c>
      <c r="D58" s="66" t="s">
        <v>1191</v>
      </c>
      <c r="E58" s="64"/>
      <c r="F58" s="64"/>
      <c r="G58" s="64"/>
    </row>
    <row r="59" ht="34" spans="1:7">
      <c r="A59" s="64"/>
      <c r="B59" s="67" t="s">
        <v>1192</v>
      </c>
      <c r="C59" s="72" t="s">
        <v>1193</v>
      </c>
      <c r="D59" s="66" t="s">
        <v>1194</v>
      </c>
      <c r="E59" s="64"/>
      <c r="F59" s="64"/>
      <c r="G59" s="64"/>
    </row>
    <row r="60" ht="20.4" spans="1:7">
      <c r="A60" s="64"/>
      <c r="B60" s="65" t="s">
        <v>807</v>
      </c>
      <c r="C60" s="65" t="s">
        <v>150</v>
      </c>
      <c r="D60" s="65" t="s">
        <v>151</v>
      </c>
      <c r="E60" s="65" t="s">
        <v>152</v>
      </c>
      <c r="F60" s="64"/>
      <c r="G60" s="64"/>
    </row>
    <row r="61" ht="18" spans="1:7">
      <c r="A61" s="64"/>
      <c r="B61" s="63" t="s">
        <v>1195</v>
      </c>
      <c r="C61" s="63" t="s">
        <v>1196</v>
      </c>
      <c r="D61" s="63" t="s">
        <v>1197</v>
      </c>
      <c r="E61" s="63" t="s">
        <v>1198</v>
      </c>
      <c r="F61" s="63"/>
      <c r="G61" s="63"/>
    </row>
    <row r="62" ht="18" spans="1:7">
      <c r="A62" s="64"/>
      <c r="B62" s="63" t="s">
        <v>1199</v>
      </c>
      <c r="C62" s="63" t="s">
        <v>1200</v>
      </c>
      <c r="D62" s="63" t="s">
        <v>1201</v>
      </c>
      <c r="E62" s="63" t="s">
        <v>1202</v>
      </c>
      <c r="F62" s="63"/>
      <c r="G62" s="63"/>
    </row>
    <row r="63" ht="18" spans="1:7">
      <c r="A63" s="64"/>
      <c r="B63" s="63" t="s">
        <v>1203</v>
      </c>
      <c r="C63" s="63" t="s">
        <v>1204</v>
      </c>
      <c r="D63" s="63" t="s">
        <v>1205</v>
      </c>
      <c r="E63" s="63" t="s">
        <v>1206</v>
      </c>
      <c r="F63" s="63"/>
      <c r="G63" s="63"/>
    </row>
    <row r="64" ht="18" spans="1:7">
      <c r="A64" s="64"/>
      <c r="B64" s="70" t="s">
        <v>1207</v>
      </c>
      <c r="C64" s="70" t="s">
        <v>1208</v>
      </c>
      <c r="D64" s="70" t="s">
        <v>1209</v>
      </c>
      <c r="E64" s="70" t="s">
        <v>1210</v>
      </c>
      <c r="F64" s="63"/>
      <c r="G64" s="63"/>
    </row>
    <row r="65" ht="18" spans="1:7">
      <c r="A65" s="64"/>
      <c r="B65" s="70" t="s">
        <v>1211</v>
      </c>
      <c r="C65" s="70" t="s">
        <v>1212</v>
      </c>
      <c r="D65" s="70" t="s">
        <v>1213</v>
      </c>
      <c r="E65" s="70" t="s">
        <v>1214</v>
      </c>
      <c r="F65" s="63"/>
      <c r="G65" s="63"/>
    </row>
    <row r="66" ht="20.4" spans="1:7">
      <c r="A66" s="64"/>
      <c r="B66" s="65" t="s">
        <v>970</v>
      </c>
      <c r="C66" s="73"/>
      <c r="D66" s="73"/>
      <c r="E66" s="73"/>
      <c r="F66" s="64"/>
      <c r="G66" s="64"/>
    </row>
    <row r="67" ht="18" spans="1:7">
      <c r="A67" s="64"/>
      <c r="B67" s="63" t="s">
        <v>1215</v>
      </c>
      <c r="C67" s="63" t="s">
        <v>1216</v>
      </c>
      <c r="D67" s="63" t="s">
        <v>1217</v>
      </c>
      <c r="E67" s="63" t="s">
        <v>1218</v>
      </c>
      <c r="F67" s="63"/>
      <c r="G67" s="63"/>
    </row>
    <row r="68" ht="18" spans="1:7">
      <c r="A68" s="64"/>
      <c r="B68" s="63" t="s">
        <v>1219</v>
      </c>
      <c r="C68" s="63" t="s">
        <v>1220</v>
      </c>
      <c r="D68" s="63" t="s">
        <v>1221</v>
      </c>
      <c r="E68" s="63" t="s">
        <v>1222</v>
      </c>
      <c r="F68" s="63"/>
      <c r="G68" s="63"/>
    </row>
    <row r="69" ht="18" spans="1:7">
      <c r="A69" s="64"/>
      <c r="B69" s="63" t="s">
        <v>1223</v>
      </c>
      <c r="C69" s="63" t="s">
        <v>1224</v>
      </c>
      <c r="D69" s="63" t="s">
        <v>1225</v>
      </c>
      <c r="E69" s="63" t="s">
        <v>1226</v>
      </c>
      <c r="F69" s="63"/>
      <c r="G69" s="63"/>
    </row>
    <row r="70" spans="1:7">
      <c r="A70" s="64"/>
      <c r="B70" s="64"/>
      <c r="C70" s="64"/>
      <c r="D70" s="64"/>
      <c r="E70" s="64"/>
      <c r="F70" s="64"/>
      <c r="G70" s="64"/>
    </row>
    <row r="71" ht="34" spans="1:7">
      <c r="A71" s="64" t="s">
        <v>1227</v>
      </c>
      <c r="B71" s="61">
        <v>123762788327</v>
      </c>
      <c r="C71" s="61" t="s">
        <v>1228</v>
      </c>
      <c r="D71" s="64"/>
      <c r="E71" s="64"/>
      <c r="F71" s="64"/>
      <c r="G71" s="64"/>
    </row>
    <row r="72" ht="34" spans="1:7">
      <c r="A72" s="64"/>
      <c r="B72" s="61">
        <v>123762788386</v>
      </c>
      <c r="C72" s="74" t="s">
        <v>1229</v>
      </c>
      <c r="D72" s="64"/>
      <c r="E72" s="64"/>
      <c r="F72" s="64"/>
      <c r="G72" s="64"/>
    </row>
    <row r="73" ht="17.6" spans="1:7">
      <c r="A73" s="64"/>
      <c r="B73" s="63" t="s">
        <v>777</v>
      </c>
      <c r="C73" s="63" t="s">
        <v>778</v>
      </c>
      <c r="D73" s="63" t="s">
        <v>150</v>
      </c>
      <c r="E73" s="63" t="s">
        <v>779</v>
      </c>
      <c r="F73" s="64"/>
      <c r="G73" s="64"/>
    </row>
    <row r="74" ht="18" spans="1:7">
      <c r="A74" s="64"/>
      <c r="B74" s="63" t="s">
        <v>1230</v>
      </c>
      <c r="C74" s="63" t="s">
        <v>1231</v>
      </c>
      <c r="D74" s="63" t="s">
        <v>1232</v>
      </c>
      <c r="E74" s="63" t="s">
        <v>1233</v>
      </c>
      <c r="F74" s="64"/>
      <c r="G74" s="64"/>
    </row>
    <row r="75" ht="18" spans="1:7">
      <c r="A75" s="64"/>
      <c r="B75" s="63" t="s">
        <v>1234</v>
      </c>
      <c r="C75" s="63" t="s">
        <v>1235</v>
      </c>
      <c r="D75" s="63" t="s">
        <v>1236</v>
      </c>
      <c r="E75" s="63" t="s">
        <v>1237</v>
      </c>
      <c r="F75" s="64"/>
      <c r="G75" s="64"/>
    </row>
    <row r="76" ht="18" spans="1:7">
      <c r="A76" s="64"/>
      <c r="B76" s="63" t="s">
        <v>1238</v>
      </c>
      <c r="C76" s="63" t="s">
        <v>1239</v>
      </c>
      <c r="D76" s="63" t="s">
        <v>1240</v>
      </c>
      <c r="E76" s="63" t="s">
        <v>1241</v>
      </c>
      <c r="F76" s="64"/>
      <c r="G76" s="64"/>
    </row>
    <row r="77" ht="18" spans="1:7">
      <c r="A77" s="64"/>
      <c r="B77" s="63" t="s">
        <v>1242</v>
      </c>
      <c r="C77" s="63" t="s">
        <v>1243</v>
      </c>
      <c r="D77" s="63" t="s">
        <v>1244</v>
      </c>
      <c r="E77" s="63" t="s">
        <v>1245</v>
      </c>
      <c r="F77" s="64"/>
      <c r="G77" s="64"/>
    </row>
    <row r="78" spans="1:7">
      <c r="A78" s="64"/>
      <c r="B78" s="64"/>
      <c r="C78" s="64"/>
      <c r="D78" s="64"/>
      <c r="E78" s="64"/>
      <c r="F78" s="64"/>
      <c r="G78" s="64"/>
    </row>
    <row r="79" ht="34" spans="1:7">
      <c r="A79" s="64" t="s">
        <v>1246</v>
      </c>
      <c r="B79" s="75">
        <v>123767683732</v>
      </c>
      <c r="C79" s="75" t="s">
        <v>1247</v>
      </c>
      <c r="D79" s="64"/>
      <c r="E79" s="64"/>
      <c r="F79" s="64"/>
      <c r="G79" s="64"/>
    </row>
    <row r="80" ht="34" spans="1:7">
      <c r="A80" s="64"/>
      <c r="B80" s="75">
        <v>119499416271</v>
      </c>
      <c r="C80" s="75" t="s">
        <v>1248</v>
      </c>
      <c r="D80" s="64"/>
      <c r="E80" s="64"/>
      <c r="F80" s="64"/>
      <c r="G80" s="64"/>
    </row>
    <row r="81" ht="17.6" spans="1:7">
      <c r="A81" s="64"/>
      <c r="B81" s="63" t="s">
        <v>777</v>
      </c>
      <c r="C81" s="63" t="s">
        <v>778</v>
      </c>
      <c r="D81" s="63" t="s">
        <v>1124</v>
      </c>
      <c r="E81" s="63" t="s">
        <v>150</v>
      </c>
      <c r="F81" s="63" t="s">
        <v>779</v>
      </c>
      <c r="G81" s="64"/>
    </row>
    <row r="82" ht="18" spans="1:7">
      <c r="A82" s="64"/>
      <c r="B82" s="63" t="s">
        <v>1249</v>
      </c>
      <c r="C82" s="63" t="s">
        <v>1250</v>
      </c>
      <c r="D82" s="63" t="s">
        <v>295</v>
      </c>
      <c r="E82" s="63" t="s">
        <v>1251</v>
      </c>
      <c r="F82" s="63" t="s">
        <v>1252</v>
      </c>
      <c r="G82" s="64"/>
    </row>
    <row r="83" ht="18" spans="1:7">
      <c r="A83" s="64"/>
      <c r="B83" s="63" t="s">
        <v>1253</v>
      </c>
      <c r="C83" s="63" t="s">
        <v>1254</v>
      </c>
      <c r="D83" s="63" t="s">
        <v>295</v>
      </c>
      <c r="E83" s="63" t="s">
        <v>1255</v>
      </c>
      <c r="F83" s="63" t="s">
        <v>1256</v>
      </c>
      <c r="G83" s="64"/>
    </row>
    <row r="84" ht="18" spans="1:7">
      <c r="A84" s="64"/>
      <c r="B84" s="63" t="s">
        <v>1257</v>
      </c>
      <c r="C84" s="63" t="s">
        <v>1258</v>
      </c>
      <c r="D84" s="63" t="s">
        <v>295</v>
      </c>
      <c r="E84" s="63" t="s">
        <v>1259</v>
      </c>
      <c r="F84" s="63" t="s">
        <v>1260</v>
      </c>
      <c r="G84" s="64"/>
    </row>
    <row r="85" ht="18" spans="1:7">
      <c r="A85" s="64"/>
      <c r="B85" s="63" t="s">
        <v>1261</v>
      </c>
      <c r="C85" s="63" t="s">
        <v>1262</v>
      </c>
      <c r="D85" s="63" t="s">
        <v>295</v>
      </c>
      <c r="E85" s="63" t="s">
        <v>1263</v>
      </c>
      <c r="F85" s="63" t="s">
        <v>1264</v>
      </c>
    </row>
  </sheetData>
  <mergeCells count="12">
    <mergeCell ref="B1:H1"/>
    <mergeCell ref="A2:H2"/>
    <mergeCell ref="A5:A9"/>
    <mergeCell ref="A10:A15"/>
    <mergeCell ref="A16:A21"/>
    <mergeCell ref="A22:A27"/>
    <mergeCell ref="A40:A47"/>
    <mergeCell ref="A48:A56"/>
    <mergeCell ref="A57:A69"/>
    <mergeCell ref="A71:A77"/>
    <mergeCell ref="A79:A85"/>
    <mergeCell ref="B3:B5"/>
  </mergeCells>
  <hyperlinks>
    <hyperlink ref="C84" r:id="rId1" display="https://s.xingqudao.net/SOYeQp1t"/>
    <hyperlink ref="E69" r:id="rId2" display="https://s.xingqudao.net/SOYePnPS"/>
    <hyperlink ref="E44" r:id="rId3" display="https://s.xingqudao.net/SOYeNig8"/>
    <hyperlink ref="F85" r:id="rId4" display="https://t1.nicegoods.cn/financial/experience-plan-sku?launchId=119499416271&amp;wcl=210500_14206547_financing"/>
    <hyperlink ref="D63" r:id="rId5" display="https://m.bankangnet.com/financial/experience-plan-sku?launchId=123605227132&amp;wcl=210500_14204932_financing"/>
    <hyperlink ref="D56" r:id="rId6" display="https://p2.nicegoods.cn/financial/experience-plan-sku?launchId=122987649698&amp;wcl=210500_14203245_financing"/>
    <hyperlink ref="E36" r:id="rId7" display="https://t1.nicegoods.cn/financial/experience-plan-sku?launchId=123953560427&amp;wcl=210500_14206554_financing"/>
    <hyperlink ref="D50" r:id="rId8" display="https://p2.nicegoods.cn/financial/experience-plan-sku?launchId=122987649698"/>
    <hyperlink ref="E45" r:id="rId9" display="https://s.xingqudao.net/SOYeNig9"/>
    <hyperlink ref="E64" r:id="rId10" display="https://s.xingqudao.net/SOYePnPL"/>
    <hyperlink ref="G10" r:id="rId11" display="写作课&#10;4.10【写作启蒙课】直播对接清单 "/>
    <hyperlink ref="D52" r:id="rId12" display="https://p2.nicegoods.cn/financial/experience-plan-sku?launchId=122987649698&amp;wcl=210500_14203247_financing"/>
    <hyperlink ref="E67" r:id="rId13" display="https://s.xingqudao.net/SOYePnPQ"/>
    <hyperlink ref="E65" r:id="rId14" display="https://s.xingqudao.net/SOYePnPM"/>
    <hyperlink ref="C36" r:id="rId15" display="https://s.xingqudao.net/SOYeQyLb"/>
    <hyperlink ref="F83" r:id="rId16" display="https://t1.nicegoods.cn/financial/experience-plan-sku?launchId=123767683732&amp;wcl=210500_14206545_financing"/>
    <hyperlink ref="E33" r:id="rId17" display="https://t1.nicegoods.cn/financial/experience-plan-sku?launchId=123953560077&amp;wcl=210500_14206551_financing"/>
    <hyperlink ref="D46" r:id="rId18" display="https://t1.nicegoods.cn/financial/experience-plan-sku?launchId=122957746739&amp;wcl=210500_14203164_financing"/>
    <hyperlink ref="F84" r:id="rId19" display="https://t1.nicegoods.cn/financial/experience-plan-sku?launchId=123767683732&amp;wcl=210500_14206546_financing"/>
    <hyperlink ref="E63" r:id="rId20" display="https://s.xingqudao.net/SOYePnPP"/>
    <hyperlink ref="C75" r:id="rId21" display="https://s.xingqudao.net/SOYeQEyI"/>
    <hyperlink ref="D53" r:id="rId22" display="https://p2.nicegoods.cn/financial/experience-plan-sku?launchId=122987649698&amp;wcl=210500_14203248_financing"/>
    <hyperlink ref="H16" r:id="rId23" display="4.2一杰瑜伽&#10;单课ID：123743273172&#10;预约链接：https://s.xingqudao.net/SOYeQCHc"/>
    <hyperlink ref="D47" r:id="rId24" display="https://t1.nicegoods.cn/financial/experience-plan-sku?launchId=122958862062&amp;wcl=210500_14203165_financing"/>
    <hyperlink ref="D61" r:id="rId25" display="https://m.bankangnet.com/financial/experience-plan-sku?launchId=123605227132&amp;wcl=210500_14204931_financing"/>
    <hyperlink ref="C82" r:id="rId26" display="https://s.xingqudao.net/SOYeQp1f"/>
    <hyperlink ref="E35" r:id="rId27" display="https://t1.nicegoods.cn/financial/experience-plan-sku?launchId=123953560077&amp;wcl=210500_14206553_financing"/>
    <hyperlink ref="C35" r:id="rId28" display="https://s.xingqudao.net/SOYeQyLa"/>
    <hyperlink ref="C76" r:id="rId29" display="https://s.xingqudao.net/SOYeQEyJ"/>
    <hyperlink ref="D54" r:id="rId30" display="https://p2.nicegoods.cn/financial/experience-plan-sku?launchId=122987649698&amp;wcl=210500_14203246_financing"/>
    <hyperlink ref="E68" r:id="rId31" display="https://s.xingqudao.net/SOYePnPR"/>
    <hyperlink ref="G22" r:id="rId32" display="摄影美学复用4.1&#10;单课ID：123742849367&#10;预约链接：https://s.xingqudao.net/SOYeQCGQ"/>
    <hyperlink ref="E76" r:id="rId33" display="https://t1.nicegoods.cn/financial/experience-plan-sku?launchId=123762788327&amp;wcl=210500_14205867_financing"/>
    <hyperlink ref="E53" r:id="rId34" display="https://s.xingqudao.net/SOYeNkYh"/>
    <hyperlink ref="H22" r:id="rId35" display="短视频复用3月10日&#10;单课ID：123754479844&#10;预约链接：https://s.xingqudao.net/SOYeQDus"/>
    <hyperlink ref="E61" r:id="rId36" display="https://s.xingqudao.net/SOYePnPO"/>
    <hyperlink ref="C74" r:id="rId37" display="https://s.xingqudao.net/SOYeQEyH"/>
    <hyperlink ref="E34" r:id="rId38" display="https://t1.nicegoods.cn/financial/experience-plan-sku?launchId=123953560077&amp;wcl=210500_14206552_financing"/>
    <hyperlink ref="D44" r:id="rId39" display="https://t1.nicegoods.cn/financial/experience-plan-sku?launchId=122957746739&amp;wcl=210500_14203162_financing"/>
    <hyperlink ref="D58" r:id="rId40" display="https://m.bankangnet.com/financial/experience-plan-sku?launchId=123605227100"/>
    <hyperlink ref="I16" r:id="rId41" display="电子琴&#10;https://s.xingqudao.net/SOYeQxpO"/>
    <hyperlink ref="E75" r:id="rId42" display="https://t1.nicegoods.cn/financial/experience-plan-sku?launchId=123762788327&amp;wcl=210500_14205866_financing"/>
    <hyperlink ref="D59" r:id="rId43" display="https://m.bankangnet.com/financial/experience-plan-sku?launchId=123605227132"/>
    <hyperlink ref="E52" r:id="rId44" display="https://s.xingqudao.net/SOYeNkYg"/>
    <hyperlink ref="G16" r:id="rId45" display="3.16睡眠助教&#10;单课ID：123743136710&#10;预约链接：https://s.xingqudao.net/SOYeQC2y"/>
    <hyperlink ref="E77" r:id="rId46" display="https://t1.nicegoods.cn/financial/experience-plan-sku?launchId=123762788386&amp;wcl=210500_14205868_financing"/>
    <hyperlink ref="D69" r:id="rId47" display="https://m.bankangnet.com/financial/experience-plan-sku?launchId=123605227132&amp;wcl=210500_14204935_financing"/>
    <hyperlink ref="E56" r:id="rId48" display="https://s.xingqudao.net/SOYeNkYe"/>
    <hyperlink ref="F82" r:id="rId49" display="https://t1.nicegoods.cn/financial/experience-plan-sku?launchId=123767683732&amp;wcl=210500_14206544_financing"/>
    <hyperlink ref="C34" r:id="rId50" display="https://s.xingqudao.net/SOYeQyLY"/>
    <hyperlink ref="C85" r:id="rId51" display="https://s.xingqudao.net/SOYeQp1y"/>
    <hyperlink ref="D65" r:id="rId52" display="https://m.bankangnet.com/financial/experience-plan-sku?launchId=123605227132&amp;wcl=210500_14204929_financing"/>
    <hyperlink ref="E55" r:id="rId53" display="https://s.xingqudao.net/SOYeNkYd"/>
    <hyperlink ref="D67" r:id="rId54" display="https://m.bankangnet.com/financial/experience-plan-sku?launchId=123605227132&amp;wcl=210500_14204933_financing"/>
    <hyperlink ref="C77" r:id="rId55" display="https://s.xingqudao.net/SOYeQEyK"/>
    <hyperlink ref="D64" r:id="rId56" display="https://m.bankangnet.com/financial/experience-plan-sku?launchId=123605227100&amp;wcl=210500_14204928_financing"/>
    <hyperlink ref="E62" r:id="rId57" display="https://s.xingqudao.net/SOYePnPN"/>
    <hyperlink ref="C33" r:id="rId58" display="https://s.xingqudao.net/SOYeQyLX"/>
    <hyperlink ref="D49" r:id="rId59" display="https://p2.nicegoods.cn/financial/experience-plan-sku?launchId=122987649619"/>
    <hyperlink ref="D68" r:id="rId60" display="https://m.bankangnet.com/financial/experience-plan-sku?launchId=123605227132&amp;wcl=210500_14204934_financing"/>
    <hyperlink ref="E47" r:id="rId61" display="https://s.xingqudao.net/SOYeNigB"/>
    <hyperlink ref="E54" r:id="rId62" display="https://s.xingqudao.net/SOYeNkYf"/>
    <hyperlink ref="C83" r:id="rId63" display="https://s.xingqudao.net/SOYeQp1m"/>
    <hyperlink ref="E74" r:id="rId64" display="https://t1.nicegoods.cn/financial/experience-plan-sku?launchId=123762788327&amp;wcl=210500_14205865_financing"/>
    <hyperlink ref="E46" r:id="rId65" display="https://s.xingqudao.net/SOYeNigA"/>
    <hyperlink ref="D45" r:id="rId66" display="https://t1.nicegoods.cn/financial/experience-plan-sku?launchId=122957746739&amp;wcl=210500_14203163_financing"/>
    <hyperlink ref="D62" r:id="rId67" display="https://m.bankangnet.com/financial/experience-plan-sku?launchId=123605227132&amp;wcl=210500_14204930_financing"/>
    <hyperlink ref="D55" r:id="rId68" display="https://p2.nicegoods.cn/financial/experience-plan-sku?launchId=122987649619&amp;wcl=210500_14203244_financi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【4.20-4.26】用户量级</vt:lpstr>
      <vt:lpstr>月度排期4.13-4.19</vt:lpstr>
      <vt:lpstr>5月排期【5.18-5.24】</vt:lpstr>
      <vt:lpstr>5月排期【5.11-5.17】</vt:lpstr>
      <vt:lpstr>【月度排期】各线人数4.27-5.3</vt:lpstr>
      <vt:lpstr>【月度排期】各线人数5.11-5.17</vt:lpstr>
      <vt:lpstr>5月排期【5.4-5.10】</vt:lpstr>
      <vt:lpstr>【月度排期】各线人数5.4-5.10</vt:lpstr>
      <vt:lpstr>4月排期【4.27-5.10】</vt:lpstr>
      <vt:lpstr>4月排期【4.20-4.26】</vt:lpstr>
      <vt:lpstr>4月排期【4.13-4.19】</vt:lpstr>
      <vt:lpstr>4月排期【4.6-4.12】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zhengkeying</cp:lastModifiedBy>
  <dcterms:created xsi:type="dcterms:W3CDTF">2026-05-17T12:22:18Z</dcterms:created>
  <dcterms:modified xsi:type="dcterms:W3CDTF">2026-05-17T12:22:53Z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4BCBB6E6E0FD0D5B9D42096AD37CAB6D_43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